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del" sheetId="2" state="visible" r:id="rId2"/>
    <sheet name="Unit Economics" sheetId="3" state="visible" r:id="rId3"/>
    <sheet name="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&quot;$&quot;#,##0.00"/>
    <numFmt numFmtId="166" formatCode="0.0"/>
    <numFmt numFmtId="167" formatCode="&quot;$&quot;#,##0"/>
    <numFmt numFmtId="168" formatCode="0.0&quot;×&quot;"/>
  </numFmts>
  <fonts count="7">
    <font>
      <name val="Calibri"/>
      <family val="2"/>
      <color theme="1"/>
      <sz val="11"/>
      <scheme val="minor"/>
    </font>
    <font>
      <b val="1"/>
      <sz val="13"/>
    </font>
    <font>
      <color rgb="00808080"/>
      <sz val="9"/>
    </font>
    <font>
      <b val="1"/>
      <color rgb="001B7A57"/>
      <sz val="11"/>
    </font>
    <font>
      <b val="1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B7A57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2" fontId="4" fillId="0" borderId="0" pivotButton="0" quotePrefix="0" xfId="0"/>
    <xf numFmtId="1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2" borderId="0" applyAlignment="1" pivotButton="0" quotePrefix="0" xfId="0">
      <alignment horizontal="center"/>
    </xf>
    <xf numFmtId="3" fontId="0" fillId="0" borderId="0" pivotButton="0" quotePrefix="0" xfId="0"/>
    <xf numFmtId="167" fontId="0" fillId="0" borderId="0" pivotButton="0" quotePrefix="0" xfId="0"/>
    <xf numFmtId="0" fontId="0" fillId="0" borderId="1" pivotButton="0" quotePrefix="0" xfId="0"/>
    <xf numFmtId="165" fontId="4" fillId="0" borderId="1" pivotButton="0" quotePrefix="0" xfId="0"/>
    <xf numFmtId="0" fontId="2" fillId="0" borderId="1" pivotButton="0" quotePrefix="0" xfId="0"/>
    <xf numFmtId="10" fontId="4" fillId="0" borderId="1" pivotButton="0" quotePrefix="0" xfId="0"/>
    <xf numFmtId="168" fontId="4" fillId="0" borderId="1" pivotButton="0" quotePrefix="0" xfId="0"/>
    <xf numFmtId="166" fontId="4" fillId="0" borderId="1" pivotButton="0" quotePrefix="0" xfId="0"/>
    <xf numFmtId="0" fontId="6" fillId="0" borderId="1" pivotButton="0" quotePrefix="0" xfId="0"/>
    <xf numFmtId="3" fontId="0" fillId="0" borderId="1" pivotButton="0" quotePrefix="0" xfId="0"/>
    <xf numFmtId="167" fontId="0" fillId="0" borderId="1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4" customWidth="1" min="3" max="3"/>
  </cols>
  <sheetData>
    <row r="1">
      <c r="A1" s="1" t="inlineStr">
        <is>
          <t>FitCircle Pro — subscription model assumptions (Base scenario)</t>
        </is>
      </c>
    </row>
    <row r="2">
      <c r="A2" s="2" t="inlineStr">
        <is>
          <t>Edit column B. The Model and Unit Economics sheets recompute. Alternate scenarios on the Scenarios sheet.</t>
        </is>
      </c>
    </row>
    <row r="4">
      <c r="A4" s="3" t="inlineStr">
        <is>
          <t>Growth</t>
        </is>
      </c>
    </row>
    <row r="5">
      <c r="A5" t="inlineStr">
        <is>
          <t>installs0</t>
        </is>
      </c>
      <c r="B5" s="4" t="n">
        <v>12000</v>
      </c>
      <c r="C5" s="2" t="inlineStr">
        <is>
          <t>Installs in month 1 (organic + paid, before viral amplification)</t>
        </is>
      </c>
    </row>
    <row r="6">
      <c r="A6" t="inlineStr">
        <is>
          <t>growth</t>
        </is>
      </c>
      <c r="B6" s="5" t="n">
        <v>0.1</v>
      </c>
      <c r="C6" s="2" t="inlineStr">
        <is>
          <t>Install growth per month</t>
        </is>
      </c>
    </row>
    <row r="7">
      <c r="A7" t="inlineStr">
        <is>
          <t>kfactor</t>
        </is>
      </c>
      <c r="B7" s="6" t="n">
        <v>0.4</v>
      </c>
      <c r="C7" s="2" t="inlineStr">
        <is>
          <t>Viral K-factor; amplification = 1/(1-K). GTM target 0.4 → 0.7</t>
        </is>
      </c>
    </row>
    <row r="8">
      <c r="A8" t="inlineStr">
        <is>
          <t>d30</t>
        </is>
      </c>
      <c r="B8" s="5" t="n">
        <v>0.1</v>
      </c>
      <c r="C8" s="2" t="inlineStr">
        <is>
          <t>D30 retention (GTM gate ≥10%)</t>
        </is>
      </c>
    </row>
    <row r="9">
      <c r="A9" t="inlineStr">
        <is>
          <t>decay</t>
        </is>
      </c>
      <c r="B9" s="5" t="n">
        <v>0.85</v>
      </c>
      <c r="C9" s="2" t="inlineStr">
        <is>
          <t>Monthly retention decay after month 1</t>
        </is>
      </c>
    </row>
    <row r="10">
      <c r="A10" t="inlineStr">
        <is>
          <t>dauMau</t>
        </is>
      </c>
      <c r="B10" s="5" t="n">
        <v>0.25</v>
      </c>
      <c r="C10" s="2" t="inlineStr">
        <is>
          <t>DAU / MAU</t>
        </is>
      </c>
    </row>
    <row r="11">
      <c r="A11" s="3" t="inlineStr">
        <is>
          <t>Funnel</t>
        </is>
      </c>
    </row>
    <row r="12">
      <c r="A12" t="inlineStr">
        <is>
          <t>installTrial</t>
        </is>
      </c>
      <c r="B12" s="5" t="n">
        <v>0.04</v>
      </c>
      <c r="C12" s="2" t="inlineStr">
        <is>
          <t>Install → trial. Health&amp;Fitness median 6.9% (RevenueCat SOSA 2026)</t>
        </is>
      </c>
    </row>
    <row r="13">
      <c r="A13" t="inlineStr">
        <is>
          <t>trialPaid</t>
        </is>
      </c>
      <c r="B13" s="5" t="n">
        <v>0.38</v>
      </c>
      <c r="C13" s="2" t="inlineStr">
        <is>
          <t>Trial → paid. Category median 37.7%</t>
        </is>
      </c>
    </row>
    <row r="14">
      <c r="A14" t="inlineStr">
        <is>
          <t>drip</t>
        </is>
      </c>
      <c r="B14" s="7" t="n">
        <v>0.002</v>
      </c>
      <c r="C14" s="2" t="inlineStr">
        <is>
          <t>Free → paid drip per month</t>
        </is>
      </c>
    </row>
    <row r="15">
      <c r="A15" t="inlineStr">
        <is>
          <t>annualShare</t>
        </is>
      </c>
      <c r="B15" s="5" t="n">
        <v>0.65</v>
      </c>
      <c r="C15" s="2" t="inlineStr">
        <is>
          <t>Annual share of new subs (category: 67-68%)</t>
        </is>
      </c>
    </row>
    <row r="16">
      <c r="A16" t="inlineStr">
        <is>
          <t>mixIos</t>
        </is>
      </c>
      <c r="B16" s="5" t="n">
        <v>0.6</v>
      </c>
      <c r="C16" s="2" t="inlineStr">
        <is>
          <t>Platform mix — iOS</t>
        </is>
      </c>
    </row>
    <row r="17">
      <c r="A17" t="inlineStr">
        <is>
          <t>mixAndroid</t>
        </is>
      </c>
      <c r="B17" s="5" t="n">
        <v>0.25</v>
      </c>
      <c r="C17" s="2" t="inlineStr">
        <is>
          <t>Platform mix — Android (web = remainder)</t>
        </is>
      </c>
    </row>
    <row r="18">
      <c r="A18" s="3" t="inlineStr">
        <is>
          <t>Pricing &amp; promo</t>
        </is>
      </c>
    </row>
    <row r="19">
      <c r="A19" t="inlineStr">
        <is>
          <t>priceM</t>
        </is>
      </c>
      <c r="B19" s="8" t="n">
        <v>9.99</v>
      </c>
      <c r="C19" s="2" t="inlineStr">
        <is>
          <t>Pro monthly</t>
        </is>
      </c>
    </row>
    <row r="20">
      <c r="A20" t="inlineStr">
        <is>
          <t>priceA</t>
        </is>
      </c>
      <c r="B20" s="8" t="n">
        <v>59.99</v>
      </c>
      <c r="C20" s="2" t="inlineStr">
        <is>
          <t>Pro annual (hero plan)</t>
        </is>
      </c>
    </row>
    <row r="21">
      <c r="A21" t="inlineStr">
        <is>
          <t>priceL</t>
        </is>
      </c>
      <c r="B21" s="8" t="n">
        <v>149.99</v>
      </c>
      <c r="C21" s="2" t="inlineStr">
        <is>
          <t>Pro lifetime (launch window one-time)</t>
        </is>
      </c>
    </row>
    <row r="22">
      <c r="A22" t="inlineStr">
        <is>
          <t>lifeTake</t>
        </is>
      </c>
      <c r="B22" s="5" t="n">
        <v>0.03</v>
      </c>
      <c r="C22" s="2" t="inlineStr">
        <is>
          <t>Share of new paid choosing lifetime during window</t>
        </is>
      </c>
    </row>
    <row r="23">
      <c r="A23" t="inlineStr">
        <is>
          <t>lifeWindow</t>
        </is>
      </c>
      <c r="B23" s="4" t="n">
        <v>3</v>
      </c>
      <c r="C23" s="2" t="inlineStr">
        <is>
          <t>Lifetime window (months)</t>
        </is>
      </c>
    </row>
    <row r="24">
      <c r="A24" t="inlineStr">
        <is>
          <t>promoPrice</t>
        </is>
      </c>
      <c r="B24" s="8" t="n">
        <v>39.99</v>
      </c>
      <c r="C24" s="2" t="inlineStr">
        <is>
          <t>Promo: annual first-year price (renews at list)</t>
        </is>
      </c>
    </row>
    <row r="25">
      <c r="A25" t="inlineStr">
        <is>
          <t>promoWindow</t>
        </is>
      </c>
      <c r="B25" s="4" t="n">
        <v>3</v>
      </c>
      <c r="C25" s="2" t="inlineStr">
        <is>
          <t>Promo window in months (0 = off)</t>
        </is>
      </c>
    </row>
    <row r="26">
      <c r="A26" t="inlineStr">
        <is>
          <t>promoUptake</t>
        </is>
      </c>
      <c r="B26" s="5" t="n">
        <v>0.7</v>
      </c>
      <c r="C26" s="2" t="inlineStr">
        <is>
          <t>Share of annual buyers taking the promo during window</t>
        </is>
      </c>
    </row>
    <row r="27">
      <c r="A27" s="3" t="inlineStr">
        <is>
          <t>Churn</t>
        </is>
      </c>
    </row>
    <row r="28">
      <c r="A28" t="inlineStr">
        <is>
          <t>churnM</t>
        </is>
      </c>
      <c r="B28" s="5" t="n">
        <v>0.06</v>
      </c>
      <c r="C28" s="2" t="inlineStr">
        <is>
          <t>Monthly-plan churn per month</t>
        </is>
      </c>
    </row>
    <row r="29">
      <c r="A29" t="inlineStr">
        <is>
          <t>renewA</t>
        </is>
      </c>
      <c r="B29" s="5" t="n">
        <v>0.45</v>
      </c>
      <c r="C29" s="2" t="inlineStr">
        <is>
          <t>Annual renewal rate at each anniversary</t>
        </is>
      </c>
    </row>
    <row r="30">
      <c r="A30" s="3" t="inlineStr">
        <is>
          <t>Fees &amp; costs</t>
        </is>
      </c>
    </row>
    <row r="31">
      <c r="A31" t="inlineStr">
        <is>
          <t>feeApple</t>
        </is>
      </c>
      <c r="B31" s="5" t="n">
        <v>0.15</v>
      </c>
      <c r="C31" s="2" t="inlineStr">
        <is>
          <t>Apple Small Business Program</t>
        </is>
      </c>
    </row>
    <row r="32">
      <c r="A32" t="inlineStr">
        <is>
          <t>feeGoogle</t>
        </is>
      </c>
      <c r="B32" s="5" t="n">
        <v>0.15</v>
      </c>
      <c r="C32" s="2" t="inlineStr">
        <is>
          <t>Google Play effective (10% service + 5% billing, post-June-2026 US)</t>
        </is>
      </c>
    </row>
    <row r="33">
      <c r="A33" t="inlineStr">
        <is>
          <t>feeWebPct</t>
        </is>
      </c>
      <c r="B33" s="5" t="n">
        <v>0.034</v>
      </c>
      <c r="C33" s="2" t="inlineStr">
        <is>
          <t>Stripe 2.9% + 0.5% Billing (30¢/txn applied separately)</t>
        </is>
      </c>
    </row>
    <row r="34">
      <c r="A34" t="inlineStr">
        <is>
          <t>rcOn</t>
        </is>
      </c>
      <c r="B34" s="4" t="n">
        <v>1</v>
      </c>
      <c r="C34" s="2" t="inlineStr">
        <is>
          <t>RevenueCat 1% past $2.5K MTR (1 = on)</t>
        </is>
      </c>
    </row>
    <row r="35">
      <c r="A35" t="inlineStr">
        <is>
          <t>aiFree</t>
        </is>
      </c>
      <c r="B35" s="8" t="n">
        <v>0.4</v>
      </c>
      <c r="C35" s="2" t="inlineStr">
        <is>
          <t>AI cost per free MAU per month (5 parses + 5 Fitzy msgs/day cap)</t>
        </is>
      </c>
    </row>
    <row r="36">
      <c r="A36" t="inlineStr">
        <is>
          <t>aiPro</t>
        </is>
      </c>
      <c r="B36" s="8" t="n">
        <v>2</v>
      </c>
      <c r="C36" s="2" t="inlineStr">
        <is>
          <t>AI cost per Pro subscriber per month</t>
        </is>
      </c>
    </row>
    <row r="37">
      <c r="A37" t="inlineStr">
        <is>
          <t>ecpm</t>
        </is>
      </c>
      <c r="B37" s="8" t="n">
        <v>8</v>
      </c>
      <c r="C37" s="2" t="inlineStr">
        <is>
          <t>Ads eCPM (free tier only; Pro is ad-free)</t>
        </is>
      </c>
    </row>
    <row r="38">
      <c r="A38" t="inlineStr">
        <is>
          <t>impsDau</t>
        </is>
      </c>
      <c r="B38" s="9" t="n">
        <v>3</v>
      </c>
      <c r="C38" s="2" t="inlineStr">
        <is>
          <t>Ad impressions per DAU per day</t>
        </is>
      </c>
    </row>
    <row r="39">
      <c r="A39" t="inlineStr">
        <is>
          <t>cpi</t>
        </is>
      </c>
      <c r="B39" s="8" t="n">
        <v>3</v>
      </c>
      <c r="C39" s="2" t="inlineStr">
        <is>
          <t>Blended CPI for paid UA (GTM guardrail ≤$3.50 iOS / ≤$2 Android)</t>
        </is>
      </c>
    </row>
    <row r="41">
      <c r="A41" s="3" t="inlineStr">
        <is>
          <t>Derived</t>
        </is>
      </c>
    </row>
    <row r="42">
      <c r="A42" t="inlineStr">
        <is>
          <t>Viral amplification 1/(1-K)</t>
        </is>
      </c>
      <c r="B42" s="10">
        <f>1/(1-Assumptions!$B$7)</f>
        <v/>
      </c>
    </row>
    <row r="43">
      <c r="A43" t="inlineStr">
        <is>
          <t>Web platform share</t>
        </is>
      </c>
      <c r="B43" s="11">
        <f>1-Assumptions!$B$16-Assumptions!$B$17</f>
        <v/>
      </c>
    </row>
    <row r="44">
      <c r="A44" t="inlineStr">
        <is>
          <t>Blended store/processor fee</t>
        </is>
      </c>
      <c r="B44" s="11">
        <f>Assumptions!$B$16*Assumptions!$B$31+Assumptions!$B$17*Assumptions!$B$32+Assumptions!$B$43*Assumptions!$B$33</f>
        <v/>
      </c>
    </row>
    <row r="45">
      <c r="A45" t="inlineStr">
        <is>
          <t>Net factor (after fees + RC 1%)</t>
        </is>
      </c>
      <c r="B45" s="11">
        <f>(1-Assumptions!$B$44)*(1-IF(Assumptions!$B$34=1,0.01,0))</f>
        <v/>
      </c>
    </row>
    <row r="46">
      <c r="A46" t="inlineStr">
        <is>
          <t>Effective annual price yr-1 (promo blend)</t>
        </is>
      </c>
      <c r="B46" s="12">
        <f>IF(Assumptions!$B$25&gt;0,Assumptions!$B$26*Assumptions!$B$24+(1-Assumptions!$B$26)*Assumptions!$B$20,Assumptions!$B$20)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1" customWidth="1" min="4" max="4"/>
    <col width="11" customWidth="1" min="5" max="5"/>
    <col width="11" customWidth="1" min="6" max="6"/>
    <col width="13" customWidth="1" min="7" max="7"/>
    <col width="12" customWidth="1" min="8" max="8"/>
    <col width="11" customWidth="1" min="9" max="9"/>
    <col width="16" customWidth="1" min="10" max="10"/>
    <col width="13" customWidth="1" min="11" max="11"/>
    <col width="13" customWidth="1" min="12" max="12"/>
    <col width="15" customWidth="1" min="13" max="13"/>
    <col width="12" customWidth="1" min="14" max="14"/>
    <col width="16" customWidth="1" min="15" max="15"/>
    <col width="11" customWidth="1" min="16" max="16"/>
    <col width="12" customWidth="1" min="17" max="17"/>
    <col width="11" customWidth="1" min="18" max="18"/>
    <col width="13" customWidth="1" min="19" max="19"/>
    <col width="11" customWidth="1" min="20" max="20"/>
    <col width="11" customWidth="1" min="21" max="21"/>
    <col width="11" customWidth="1" min="22" max="22"/>
    <col width="13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3" customWidth="1" min="30" max="30"/>
    <col width="17" customWidth="1" min="31" max="31"/>
  </cols>
  <sheetData>
    <row r="1">
      <c r="A1" s="13" t="inlineStr">
        <is>
          <t>Month</t>
        </is>
      </c>
      <c r="B1" s="13" t="inlineStr">
        <is>
          <t>Installs</t>
        </is>
      </c>
      <c r="C1" s="13" t="inlineStr">
        <is>
          <t>RetainedTail</t>
        </is>
      </c>
      <c r="D1" s="13" t="inlineStr">
        <is>
          <t>MAU</t>
        </is>
      </c>
      <c r="E1" s="13" t="inlineStr">
        <is>
          <t>Trials</t>
        </is>
      </c>
      <c r="F1" s="13" t="inlineStr">
        <is>
          <t>NewPaid</t>
        </is>
      </c>
      <c r="G1" s="13" t="inlineStr">
        <is>
          <t>NewLifetime</t>
        </is>
      </c>
      <c r="H1" s="13" t="inlineStr">
        <is>
          <t>NewMonthly</t>
        </is>
      </c>
      <c r="I1" s="13" t="inlineStr">
        <is>
          <t>NewAnnual</t>
        </is>
      </c>
      <c r="J1" s="13" t="inlineStr">
        <is>
          <t>EffAnnualPrice</t>
        </is>
      </c>
      <c r="K1" s="13" t="inlineStr">
        <is>
          <t>MonthlySubs</t>
        </is>
      </c>
      <c r="L1" s="13" t="inlineStr">
        <is>
          <t>AnnualYoung</t>
        </is>
      </c>
      <c r="M1" s="13" t="inlineStr">
        <is>
          <t>AnnualRenewed</t>
        </is>
      </c>
      <c r="N1" s="13" t="inlineStr">
        <is>
          <t>AnnualSubs</t>
        </is>
      </c>
      <c r="O1" s="13" t="inlineStr">
        <is>
          <t>LifetimeOwners</t>
        </is>
      </c>
      <c r="P1" s="13" t="inlineStr">
        <is>
          <t>Paying</t>
        </is>
      </c>
      <c r="Q1" s="13" t="inlineStr">
        <is>
          <t>RevMonthly</t>
        </is>
      </c>
      <c r="R1" s="13" t="inlineStr">
        <is>
          <t>RevAnnual</t>
        </is>
      </c>
      <c r="S1" s="13" t="inlineStr">
        <is>
          <t>RevLifetime</t>
        </is>
      </c>
      <c r="T1" s="13" t="inlineStr">
        <is>
          <t>FreeMAU</t>
        </is>
      </c>
      <c r="U1" s="13" t="inlineStr">
        <is>
          <t>FreeDAU</t>
        </is>
      </c>
      <c r="V1" s="13" t="inlineStr">
        <is>
          <t>RevAds</t>
        </is>
      </c>
      <c r="W1" s="13" t="inlineStr">
        <is>
          <t>GrossSubRev</t>
        </is>
      </c>
      <c r="X1" s="13" t="inlineStr">
        <is>
          <t>TxnFees</t>
        </is>
      </c>
      <c r="Y1" s="13" t="inlineStr">
        <is>
          <t>RCFee</t>
        </is>
      </c>
      <c r="Z1" s="13" t="inlineStr">
        <is>
          <t>NetSubRev</t>
        </is>
      </c>
      <c r="AA1" s="13" t="inlineStr">
        <is>
          <t>GrossMRR</t>
        </is>
      </c>
      <c r="AB1" s="13" t="inlineStr">
        <is>
          <t>NetMRR</t>
        </is>
      </c>
      <c r="AC1" s="13" t="inlineStr">
        <is>
          <t>AICost</t>
        </is>
      </c>
      <c r="AD1" s="13" t="inlineStr">
        <is>
          <t>CumInstalls</t>
        </is>
      </c>
      <c r="AE1" s="13" t="inlineStr">
        <is>
          <t>NetRevenueTotal</t>
        </is>
      </c>
    </row>
    <row r="2">
      <c r="A2" s="14" t="n">
        <v>1</v>
      </c>
      <c r="B2" s="14">
        <f>Assumptions!$B$5*(1+Assumptions!$B$6)^(A2-1)*Assumptions!$B$42</f>
        <v/>
      </c>
      <c r="C2" s="14" t="n">
        <v>0</v>
      </c>
      <c r="D2" s="14">
        <f>B2+C2</f>
        <v/>
      </c>
      <c r="E2" s="14">
        <f>B2*Assumptions!$B$12</f>
        <v/>
      </c>
      <c r="F2" s="14">
        <f>E2*Assumptions!$B$13+D2*Assumptions!$B$14</f>
        <v/>
      </c>
      <c r="G2" s="14">
        <f>IF(A2&lt;=Assumptions!$B$23,F2*Assumptions!$B$22,0)</f>
        <v/>
      </c>
      <c r="H2" s="14">
        <f>(F2-G2)*(1-Assumptions!$B$15)</f>
        <v/>
      </c>
      <c r="I2" s="14">
        <f>(F2-G2)*Assumptions!$B$15</f>
        <v/>
      </c>
      <c r="J2" s="12">
        <f>IF(A2&lt;=Assumptions!$B$25,Assumptions!$B$46,Assumptions!$B$20)</f>
        <v/>
      </c>
      <c r="K2" s="14">
        <f>H2</f>
        <v/>
      </c>
      <c r="L2" s="14">
        <f>SUM(I2:I2)</f>
        <v/>
      </c>
      <c r="M2" s="14" t="n">
        <v>0</v>
      </c>
      <c r="N2" s="14">
        <f>L2+M2</f>
        <v/>
      </c>
      <c r="O2" s="14">
        <f>G2</f>
        <v/>
      </c>
      <c r="P2" s="14">
        <f>K2+N2+O2</f>
        <v/>
      </c>
      <c r="Q2" s="15">
        <f>K2*Assumptions!$B$19</f>
        <v/>
      </c>
      <c r="R2" s="15">
        <f>SUMPRODUCT(I2:I2,J2:J2)/12+M2*Assumptions!$B$20/12</f>
        <v/>
      </c>
      <c r="S2" s="15">
        <f>G2*Assumptions!$B$21</f>
        <v/>
      </c>
      <c r="T2" s="14">
        <f>MAX(D2-P2,0)</f>
        <v/>
      </c>
      <c r="U2" s="14">
        <f>T2*Assumptions!$B$10</f>
        <v/>
      </c>
      <c r="V2" s="15">
        <f>U2*Assumptions!$B$38*Assumptions!$B$37/1000*30.4</f>
        <v/>
      </c>
      <c r="W2" s="15">
        <f>Q2+R2+S2</f>
        <v/>
      </c>
      <c r="X2" s="15">
        <f>Assumptions!$B$43*(F2+K2)*0.3</f>
        <v/>
      </c>
      <c r="Y2" s="15">
        <f>IF(AND(Assumptions!$B$34=1,W2&gt;2500),W2*0.01,0)</f>
        <v/>
      </c>
      <c r="Z2" s="15">
        <f>W2*(1-Assumptions!$B$44)-X2-Y2</f>
        <v/>
      </c>
      <c r="AA2" s="15">
        <f>Q2+R2</f>
        <v/>
      </c>
      <c r="AB2" s="15">
        <f>AA2*(1-Assumptions!$B$44)-IF(AND(Assumptions!$B$34=1,W2&gt;2500),AA2*0.01,0)</f>
        <v/>
      </c>
      <c r="AC2" s="15">
        <f>T2*Assumptions!$B$35+P2*Assumptions!$B$36</f>
        <v/>
      </c>
      <c r="AD2" s="14">
        <f>B2</f>
        <v/>
      </c>
      <c r="AE2" s="15">
        <f>Z2+V2</f>
        <v/>
      </c>
    </row>
    <row r="3">
      <c r="A3" s="14" t="n">
        <v>2</v>
      </c>
      <c r="B3" s="14">
        <f>Assumptions!$B$5*(1+Assumptions!$B$6)^(A3-1)*Assumptions!$B$42</f>
        <v/>
      </c>
      <c r="C3" s="14">
        <f>Assumptions!$B$9*C2+B2*Assumptions!$B$8</f>
        <v/>
      </c>
      <c r="D3" s="14">
        <f>B3+C3</f>
        <v/>
      </c>
      <c r="E3" s="14">
        <f>B3*Assumptions!$B$12</f>
        <v/>
      </c>
      <c r="F3" s="14">
        <f>E3*Assumptions!$B$13+D3*Assumptions!$B$14</f>
        <v/>
      </c>
      <c r="G3" s="14">
        <f>IF(A3&lt;=Assumptions!$B$23,F3*Assumptions!$B$22,0)</f>
        <v/>
      </c>
      <c r="H3" s="14">
        <f>(F3-G3)*(1-Assumptions!$B$15)</f>
        <v/>
      </c>
      <c r="I3" s="14">
        <f>(F3-G3)*Assumptions!$B$15</f>
        <v/>
      </c>
      <c r="J3" s="12">
        <f>IF(A3&lt;=Assumptions!$B$25,Assumptions!$B$46,Assumptions!$B$20)</f>
        <v/>
      </c>
      <c r="K3" s="14">
        <f>K2*(1-Assumptions!$B$28)+H3</f>
        <v/>
      </c>
      <c r="L3" s="14">
        <f>SUM(I2:I3)</f>
        <v/>
      </c>
      <c r="M3" s="14" t="n">
        <v>0</v>
      </c>
      <c r="N3" s="14">
        <f>L3+M3</f>
        <v/>
      </c>
      <c r="O3" s="14">
        <f>O2+G3</f>
        <v/>
      </c>
      <c r="P3" s="14">
        <f>K3+N3+O3</f>
        <v/>
      </c>
      <c r="Q3" s="15">
        <f>K3*Assumptions!$B$19</f>
        <v/>
      </c>
      <c r="R3" s="15">
        <f>SUMPRODUCT(I2:I3,J2:J3)/12+M3*Assumptions!$B$20/12</f>
        <v/>
      </c>
      <c r="S3" s="15">
        <f>G3*Assumptions!$B$21</f>
        <v/>
      </c>
      <c r="T3" s="14">
        <f>MAX(D3-P3,0)</f>
        <v/>
      </c>
      <c r="U3" s="14">
        <f>T3*Assumptions!$B$10</f>
        <v/>
      </c>
      <c r="V3" s="15">
        <f>U3*Assumptions!$B$38*Assumptions!$B$37/1000*30.4</f>
        <v/>
      </c>
      <c r="W3" s="15">
        <f>Q3+R3+S3</f>
        <v/>
      </c>
      <c r="X3" s="15">
        <f>Assumptions!$B$43*(F3+K3)*0.3</f>
        <v/>
      </c>
      <c r="Y3" s="15">
        <f>IF(AND(Assumptions!$B$34=1,W3&gt;2500),W3*0.01,0)</f>
        <v/>
      </c>
      <c r="Z3" s="15">
        <f>W3*(1-Assumptions!$B$44)-X3-Y3</f>
        <v/>
      </c>
      <c r="AA3" s="15">
        <f>Q3+R3</f>
        <v/>
      </c>
      <c r="AB3" s="15">
        <f>AA3*(1-Assumptions!$B$44)-IF(AND(Assumptions!$B$34=1,W3&gt;2500),AA3*0.01,0)</f>
        <v/>
      </c>
      <c r="AC3" s="15">
        <f>T3*Assumptions!$B$35+P3*Assumptions!$B$36</f>
        <v/>
      </c>
      <c r="AD3" s="14">
        <f>AD2+B3</f>
        <v/>
      </c>
      <c r="AE3" s="15">
        <f>Z3+V3</f>
        <v/>
      </c>
    </row>
    <row r="4">
      <c r="A4" s="14" t="n">
        <v>3</v>
      </c>
      <c r="B4" s="14">
        <f>Assumptions!$B$5*(1+Assumptions!$B$6)^(A4-1)*Assumptions!$B$42</f>
        <v/>
      </c>
      <c r="C4" s="14">
        <f>Assumptions!$B$9*C3+B3*Assumptions!$B$8</f>
        <v/>
      </c>
      <c r="D4" s="14">
        <f>B4+C4</f>
        <v/>
      </c>
      <c r="E4" s="14">
        <f>B4*Assumptions!$B$12</f>
        <v/>
      </c>
      <c r="F4" s="14">
        <f>E4*Assumptions!$B$13+D4*Assumptions!$B$14</f>
        <v/>
      </c>
      <c r="G4" s="14">
        <f>IF(A4&lt;=Assumptions!$B$23,F4*Assumptions!$B$22,0)</f>
        <v/>
      </c>
      <c r="H4" s="14">
        <f>(F4-G4)*(1-Assumptions!$B$15)</f>
        <v/>
      </c>
      <c r="I4" s="14">
        <f>(F4-G4)*Assumptions!$B$15</f>
        <v/>
      </c>
      <c r="J4" s="12">
        <f>IF(A4&lt;=Assumptions!$B$25,Assumptions!$B$46,Assumptions!$B$20)</f>
        <v/>
      </c>
      <c r="K4" s="14">
        <f>K3*(1-Assumptions!$B$28)+H4</f>
        <v/>
      </c>
      <c r="L4" s="14">
        <f>SUM(I2:I4)</f>
        <v/>
      </c>
      <c r="M4" s="14" t="n">
        <v>0</v>
      </c>
      <c r="N4" s="14">
        <f>L4+M4</f>
        <v/>
      </c>
      <c r="O4" s="14">
        <f>O3+G4</f>
        <v/>
      </c>
      <c r="P4" s="14">
        <f>K4+N4+O4</f>
        <v/>
      </c>
      <c r="Q4" s="15">
        <f>K4*Assumptions!$B$19</f>
        <v/>
      </c>
      <c r="R4" s="15">
        <f>SUMPRODUCT(I2:I4,J2:J4)/12+M4*Assumptions!$B$20/12</f>
        <v/>
      </c>
      <c r="S4" s="15">
        <f>G4*Assumptions!$B$21</f>
        <v/>
      </c>
      <c r="T4" s="14">
        <f>MAX(D4-P4,0)</f>
        <v/>
      </c>
      <c r="U4" s="14">
        <f>T4*Assumptions!$B$10</f>
        <v/>
      </c>
      <c r="V4" s="15">
        <f>U4*Assumptions!$B$38*Assumptions!$B$37/1000*30.4</f>
        <v/>
      </c>
      <c r="W4" s="15">
        <f>Q4+R4+S4</f>
        <v/>
      </c>
      <c r="X4" s="15">
        <f>Assumptions!$B$43*(F4+K4)*0.3</f>
        <v/>
      </c>
      <c r="Y4" s="15">
        <f>IF(AND(Assumptions!$B$34=1,W4&gt;2500),W4*0.01,0)</f>
        <v/>
      </c>
      <c r="Z4" s="15">
        <f>W4*(1-Assumptions!$B$44)-X4-Y4</f>
        <v/>
      </c>
      <c r="AA4" s="15">
        <f>Q4+R4</f>
        <v/>
      </c>
      <c r="AB4" s="15">
        <f>AA4*(1-Assumptions!$B$44)-IF(AND(Assumptions!$B$34=1,W4&gt;2500),AA4*0.01,0)</f>
        <v/>
      </c>
      <c r="AC4" s="15">
        <f>T4*Assumptions!$B$35+P4*Assumptions!$B$36</f>
        <v/>
      </c>
      <c r="AD4" s="14">
        <f>AD3+B4</f>
        <v/>
      </c>
      <c r="AE4" s="15">
        <f>Z4+V4</f>
        <v/>
      </c>
    </row>
    <row r="5">
      <c r="A5" s="14" t="n">
        <v>4</v>
      </c>
      <c r="B5" s="14">
        <f>Assumptions!$B$5*(1+Assumptions!$B$6)^(A5-1)*Assumptions!$B$42</f>
        <v/>
      </c>
      <c r="C5" s="14">
        <f>Assumptions!$B$9*C4+B4*Assumptions!$B$8</f>
        <v/>
      </c>
      <c r="D5" s="14">
        <f>B5+C5</f>
        <v/>
      </c>
      <c r="E5" s="14">
        <f>B5*Assumptions!$B$12</f>
        <v/>
      </c>
      <c r="F5" s="14">
        <f>E5*Assumptions!$B$13+D5*Assumptions!$B$14</f>
        <v/>
      </c>
      <c r="G5" s="14">
        <f>IF(A5&lt;=Assumptions!$B$23,F5*Assumptions!$B$22,0)</f>
        <v/>
      </c>
      <c r="H5" s="14">
        <f>(F5-G5)*(1-Assumptions!$B$15)</f>
        <v/>
      </c>
      <c r="I5" s="14">
        <f>(F5-G5)*Assumptions!$B$15</f>
        <v/>
      </c>
      <c r="J5" s="12">
        <f>IF(A5&lt;=Assumptions!$B$25,Assumptions!$B$46,Assumptions!$B$20)</f>
        <v/>
      </c>
      <c r="K5" s="14">
        <f>K4*(1-Assumptions!$B$28)+H5</f>
        <v/>
      </c>
      <c r="L5" s="14">
        <f>SUM(I2:I5)</f>
        <v/>
      </c>
      <c r="M5" s="14" t="n">
        <v>0</v>
      </c>
      <c r="N5" s="14">
        <f>L5+M5</f>
        <v/>
      </c>
      <c r="O5" s="14">
        <f>O4+G5</f>
        <v/>
      </c>
      <c r="P5" s="14">
        <f>K5+N5+O5</f>
        <v/>
      </c>
      <c r="Q5" s="15">
        <f>K5*Assumptions!$B$19</f>
        <v/>
      </c>
      <c r="R5" s="15">
        <f>SUMPRODUCT(I2:I5,J2:J5)/12+M5*Assumptions!$B$20/12</f>
        <v/>
      </c>
      <c r="S5" s="15">
        <f>G5*Assumptions!$B$21</f>
        <v/>
      </c>
      <c r="T5" s="14">
        <f>MAX(D5-P5,0)</f>
        <v/>
      </c>
      <c r="U5" s="14">
        <f>T5*Assumptions!$B$10</f>
        <v/>
      </c>
      <c r="V5" s="15">
        <f>U5*Assumptions!$B$38*Assumptions!$B$37/1000*30.4</f>
        <v/>
      </c>
      <c r="W5" s="15">
        <f>Q5+R5+S5</f>
        <v/>
      </c>
      <c r="X5" s="15">
        <f>Assumptions!$B$43*(F5+K5)*0.3</f>
        <v/>
      </c>
      <c r="Y5" s="15">
        <f>IF(AND(Assumptions!$B$34=1,W5&gt;2500),W5*0.01,0)</f>
        <v/>
      </c>
      <c r="Z5" s="15">
        <f>W5*(1-Assumptions!$B$44)-X5-Y5</f>
        <v/>
      </c>
      <c r="AA5" s="15">
        <f>Q5+R5</f>
        <v/>
      </c>
      <c r="AB5" s="15">
        <f>AA5*(1-Assumptions!$B$44)-IF(AND(Assumptions!$B$34=1,W5&gt;2500),AA5*0.01,0)</f>
        <v/>
      </c>
      <c r="AC5" s="15">
        <f>T5*Assumptions!$B$35+P5*Assumptions!$B$36</f>
        <v/>
      </c>
      <c r="AD5" s="14">
        <f>AD4+B5</f>
        <v/>
      </c>
      <c r="AE5" s="15">
        <f>Z5+V5</f>
        <v/>
      </c>
    </row>
    <row r="6">
      <c r="A6" s="14" t="n">
        <v>5</v>
      </c>
      <c r="B6" s="14">
        <f>Assumptions!$B$5*(1+Assumptions!$B$6)^(A6-1)*Assumptions!$B$42</f>
        <v/>
      </c>
      <c r="C6" s="14">
        <f>Assumptions!$B$9*C5+B5*Assumptions!$B$8</f>
        <v/>
      </c>
      <c r="D6" s="14">
        <f>B6+C6</f>
        <v/>
      </c>
      <c r="E6" s="14">
        <f>B6*Assumptions!$B$12</f>
        <v/>
      </c>
      <c r="F6" s="14">
        <f>E6*Assumptions!$B$13+D6*Assumptions!$B$14</f>
        <v/>
      </c>
      <c r="G6" s="14">
        <f>IF(A6&lt;=Assumptions!$B$23,F6*Assumptions!$B$22,0)</f>
        <v/>
      </c>
      <c r="H6" s="14">
        <f>(F6-G6)*(1-Assumptions!$B$15)</f>
        <v/>
      </c>
      <c r="I6" s="14">
        <f>(F6-G6)*Assumptions!$B$15</f>
        <v/>
      </c>
      <c r="J6" s="12">
        <f>IF(A6&lt;=Assumptions!$B$25,Assumptions!$B$46,Assumptions!$B$20)</f>
        <v/>
      </c>
      <c r="K6" s="14">
        <f>K5*(1-Assumptions!$B$28)+H6</f>
        <v/>
      </c>
      <c r="L6" s="14">
        <f>SUM(I2:I6)</f>
        <v/>
      </c>
      <c r="M6" s="14" t="n">
        <v>0</v>
      </c>
      <c r="N6" s="14">
        <f>L6+M6</f>
        <v/>
      </c>
      <c r="O6" s="14">
        <f>O5+G6</f>
        <v/>
      </c>
      <c r="P6" s="14">
        <f>K6+N6+O6</f>
        <v/>
      </c>
      <c r="Q6" s="15">
        <f>K6*Assumptions!$B$19</f>
        <v/>
      </c>
      <c r="R6" s="15">
        <f>SUMPRODUCT(I2:I6,J2:J6)/12+M6*Assumptions!$B$20/12</f>
        <v/>
      </c>
      <c r="S6" s="15">
        <f>G6*Assumptions!$B$21</f>
        <v/>
      </c>
      <c r="T6" s="14">
        <f>MAX(D6-P6,0)</f>
        <v/>
      </c>
      <c r="U6" s="14">
        <f>T6*Assumptions!$B$10</f>
        <v/>
      </c>
      <c r="V6" s="15">
        <f>U6*Assumptions!$B$38*Assumptions!$B$37/1000*30.4</f>
        <v/>
      </c>
      <c r="W6" s="15">
        <f>Q6+R6+S6</f>
        <v/>
      </c>
      <c r="X6" s="15">
        <f>Assumptions!$B$43*(F6+K6)*0.3</f>
        <v/>
      </c>
      <c r="Y6" s="15">
        <f>IF(AND(Assumptions!$B$34=1,W6&gt;2500),W6*0.01,0)</f>
        <v/>
      </c>
      <c r="Z6" s="15">
        <f>W6*(1-Assumptions!$B$44)-X6-Y6</f>
        <v/>
      </c>
      <c r="AA6" s="15">
        <f>Q6+R6</f>
        <v/>
      </c>
      <c r="AB6" s="15">
        <f>AA6*(1-Assumptions!$B$44)-IF(AND(Assumptions!$B$34=1,W6&gt;2500),AA6*0.01,0)</f>
        <v/>
      </c>
      <c r="AC6" s="15">
        <f>T6*Assumptions!$B$35+P6*Assumptions!$B$36</f>
        <v/>
      </c>
      <c r="AD6" s="14">
        <f>AD5+B6</f>
        <v/>
      </c>
      <c r="AE6" s="15">
        <f>Z6+V6</f>
        <v/>
      </c>
    </row>
    <row r="7">
      <c r="A7" s="14" t="n">
        <v>6</v>
      </c>
      <c r="B7" s="14">
        <f>Assumptions!$B$5*(1+Assumptions!$B$6)^(A7-1)*Assumptions!$B$42</f>
        <v/>
      </c>
      <c r="C7" s="14">
        <f>Assumptions!$B$9*C6+B6*Assumptions!$B$8</f>
        <v/>
      </c>
      <c r="D7" s="14">
        <f>B7+C7</f>
        <v/>
      </c>
      <c r="E7" s="14">
        <f>B7*Assumptions!$B$12</f>
        <v/>
      </c>
      <c r="F7" s="14">
        <f>E7*Assumptions!$B$13+D7*Assumptions!$B$14</f>
        <v/>
      </c>
      <c r="G7" s="14">
        <f>IF(A7&lt;=Assumptions!$B$23,F7*Assumptions!$B$22,0)</f>
        <v/>
      </c>
      <c r="H7" s="14">
        <f>(F7-G7)*(1-Assumptions!$B$15)</f>
        <v/>
      </c>
      <c r="I7" s="14">
        <f>(F7-G7)*Assumptions!$B$15</f>
        <v/>
      </c>
      <c r="J7" s="12">
        <f>IF(A7&lt;=Assumptions!$B$25,Assumptions!$B$46,Assumptions!$B$20)</f>
        <v/>
      </c>
      <c r="K7" s="14">
        <f>K6*(1-Assumptions!$B$28)+H7</f>
        <v/>
      </c>
      <c r="L7" s="14">
        <f>SUM(I2:I7)</f>
        <v/>
      </c>
      <c r="M7" s="14" t="n">
        <v>0</v>
      </c>
      <c r="N7" s="14">
        <f>L7+M7</f>
        <v/>
      </c>
      <c r="O7" s="14">
        <f>O6+G7</f>
        <v/>
      </c>
      <c r="P7" s="14">
        <f>K7+N7+O7</f>
        <v/>
      </c>
      <c r="Q7" s="15">
        <f>K7*Assumptions!$B$19</f>
        <v/>
      </c>
      <c r="R7" s="15">
        <f>SUMPRODUCT(I2:I7,J2:J7)/12+M7*Assumptions!$B$20/12</f>
        <v/>
      </c>
      <c r="S7" s="15">
        <f>G7*Assumptions!$B$21</f>
        <v/>
      </c>
      <c r="T7" s="14">
        <f>MAX(D7-P7,0)</f>
        <v/>
      </c>
      <c r="U7" s="14">
        <f>T7*Assumptions!$B$10</f>
        <v/>
      </c>
      <c r="V7" s="15">
        <f>U7*Assumptions!$B$38*Assumptions!$B$37/1000*30.4</f>
        <v/>
      </c>
      <c r="W7" s="15">
        <f>Q7+R7+S7</f>
        <v/>
      </c>
      <c r="X7" s="15">
        <f>Assumptions!$B$43*(F7+K7)*0.3</f>
        <v/>
      </c>
      <c r="Y7" s="15">
        <f>IF(AND(Assumptions!$B$34=1,W7&gt;2500),W7*0.01,0)</f>
        <v/>
      </c>
      <c r="Z7" s="15">
        <f>W7*(1-Assumptions!$B$44)-X7-Y7</f>
        <v/>
      </c>
      <c r="AA7" s="15">
        <f>Q7+R7</f>
        <v/>
      </c>
      <c r="AB7" s="15">
        <f>AA7*(1-Assumptions!$B$44)-IF(AND(Assumptions!$B$34=1,W7&gt;2500),AA7*0.01,0)</f>
        <v/>
      </c>
      <c r="AC7" s="15">
        <f>T7*Assumptions!$B$35+P7*Assumptions!$B$36</f>
        <v/>
      </c>
      <c r="AD7" s="14">
        <f>AD6+B7</f>
        <v/>
      </c>
      <c r="AE7" s="15">
        <f>Z7+V7</f>
        <v/>
      </c>
    </row>
    <row r="8">
      <c r="A8" s="14" t="n">
        <v>7</v>
      </c>
      <c r="B8" s="14">
        <f>Assumptions!$B$5*(1+Assumptions!$B$6)^(A8-1)*Assumptions!$B$42</f>
        <v/>
      </c>
      <c r="C8" s="14">
        <f>Assumptions!$B$9*C7+B7*Assumptions!$B$8</f>
        <v/>
      </c>
      <c r="D8" s="14">
        <f>B8+C8</f>
        <v/>
      </c>
      <c r="E8" s="14">
        <f>B8*Assumptions!$B$12</f>
        <v/>
      </c>
      <c r="F8" s="14">
        <f>E8*Assumptions!$B$13+D8*Assumptions!$B$14</f>
        <v/>
      </c>
      <c r="G8" s="14">
        <f>IF(A8&lt;=Assumptions!$B$23,F8*Assumptions!$B$22,0)</f>
        <v/>
      </c>
      <c r="H8" s="14">
        <f>(F8-G8)*(1-Assumptions!$B$15)</f>
        <v/>
      </c>
      <c r="I8" s="14">
        <f>(F8-G8)*Assumptions!$B$15</f>
        <v/>
      </c>
      <c r="J8" s="12">
        <f>IF(A8&lt;=Assumptions!$B$25,Assumptions!$B$46,Assumptions!$B$20)</f>
        <v/>
      </c>
      <c r="K8" s="14">
        <f>K7*(1-Assumptions!$B$28)+H8</f>
        <v/>
      </c>
      <c r="L8" s="14">
        <f>SUM(I2:I8)</f>
        <v/>
      </c>
      <c r="M8" s="14" t="n">
        <v>0</v>
      </c>
      <c r="N8" s="14">
        <f>L8+M8</f>
        <v/>
      </c>
      <c r="O8" s="14">
        <f>O7+G8</f>
        <v/>
      </c>
      <c r="P8" s="14">
        <f>K8+N8+O8</f>
        <v/>
      </c>
      <c r="Q8" s="15">
        <f>K8*Assumptions!$B$19</f>
        <v/>
      </c>
      <c r="R8" s="15">
        <f>SUMPRODUCT(I2:I8,J2:J8)/12+M8*Assumptions!$B$20/12</f>
        <v/>
      </c>
      <c r="S8" s="15">
        <f>G8*Assumptions!$B$21</f>
        <v/>
      </c>
      <c r="T8" s="14">
        <f>MAX(D8-P8,0)</f>
        <v/>
      </c>
      <c r="U8" s="14">
        <f>T8*Assumptions!$B$10</f>
        <v/>
      </c>
      <c r="V8" s="15">
        <f>U8*Assumptions!$B$38*Assumptions!$B$37/1000*30.4</f>
        <v/>
      </c>
      <c r="W8" s="15">
        <f>Q8+R8+S8</f>
        <v/>
      </c>
      <c r="X8" s="15">
        <f>Assumptions!$B$43*(F8+K8)*0.3</f>
        <v/>
      </c>
      <c r="Y8" s="15">
        <f>IF(AND(Assumptions!$B$34=1,W8&gt;2500),W8*0.01,0)</f>
        <v/>
      </c>
      <c r="Z8" s="15">
        <f>W8*(1-Assumptions!$B$44)-X8-Y8</f>
        <v/>
      </c>
      <c r="AA8" s="15">
        <f>Q8+R8</f>
        <v/>
      </c>
      <c r="AB8" s="15">
        <f>AA8*(1-Assumptions!$B$44)-IF(AND(Assumptions!$B$34=1,W8&gt;2500),AA8*0.01,0)</f>
        <v/>
      </c>
      <c r="AC8" s="15">
        <f>T8*Assumptions!$B$35+P8*Assumptions!$B$36</f>
        <v/>
      </c>
      <c r="AD8" s="14">
        <f>AD7+B8</f>
        <v/>
      </c>
      <c r="AE8" s="15">
        <f>Z8+V8</f>
        <v/>
      </c>
    </row>
    <row r="9">
      <c r="A9" s="14" t="n">
        <v>8</v>
      </c>
      <c r="B9" s="14">
        <f>Assumptions!$B$5*(1+Assumptions!$B$6)^(A9-1)*Assumptions!$B$42</f>
        <v/>
      </c>
      <c r="C9" s="14">
        <f>Assumptions!$B$9*C8+B8*Assumptions!$B$8</f>
        <v/>
      </c>
      <c r="D9" s="14">
        <f>B9+C9</f>
        <v/>
      </c>
      <c r="E9" s="14">
        <f>B9*Assumptions!$B$12</f>
        <v/>
      </c>
      <c r="F9" s="14">
        <f>E9*Assumptions!$B$13+D9*Assumptions!$B$14</f>
        <v/>
      </c>
      <c r="G9" s="14">
        <f>IF(A9&lt;=Assumptions!$B$23,F9*Assumptions!$B$22,0)</f>
        <v/>
      </c>
      <c r="H9" s="14">
        <f>(F9-G9)*(1-Assumptions!$B$15)</f>
        <v/>
      </c>
      <c r="I9" s="14">
        <f>(F9-G9)*Assumptions!$B$15</f>
        <v/>
      </c>
      <c r="J9" s="12">
        <f>IF(A9&lt;=Assumptions!$B$25,Assumptions!$B$46,Assumptions!$B$20)</f>
        <v/>
      </c>
      <c r="K9" s="14">
        <f>K8*(1-Assumptions!$B$28)+H9</f>
        <v/>
      </c>
      <c r="L9" s="14">
        <f>SUM(I2:I9)</f>
        <v/>
      </c>
      <c r="M9" s="14" t="n">
        <v>0</v>
      </c>
      <c r="N9" s="14">
        <f>L9+M9</f>
        <v/>
      </c>
      <c r="O9" s="14">
        <f>O8+G9</f>
        <v/>
      </c>
      <c r="P9" s="14">
        <f>K9+N9+O9</f>
        <v/>
      </c>
      <c r="Q9" s="15">
        <f>K9*Assumptions!$B$19</f>
        <v/>
      </c>
      <c r="R9" s="15">
        <f>SUMPRODUCT(I2:I9,J2:J9)/12+M9*Assumptions!$B$20/12</f>
        <v/>
      </c>
      <c r="S9" s="15">
        <f>G9*Assumptions!$B$21</f>
        <v/>
      </c>
      <c r="T9" s="14">
        <f>MAX(D9-P9,0)</f>
        <v/>
      </c>
      <c r="U9" s="14">
        <f>T9*Assumptions!$B$10</f>
        <v/>
      </c>
      <c r="V9" s="15">
        <f>U9*Assumptions!$B$38*Assumptions!$B$37/1000*30.4</f>
        <v/>
      </c>
      <c r="W9" s="15">
        <f>Q9+R9+S9</f>
        <v/>
      </c>
      <c r="X9" s="15">
        <f>Assumptions!$B$43*(F9+K9)*0.3</f>
        <v/>
      </c>
      <c r="Y9" s="15">
        <f>IF(AND(Assumptions!$B$34=1,W9&gt;2500),W9*0.01,0)</f>
        <v/>
      </c>
      <c r="Z9" s="15">
        <f>W9*(1-Assumptions!$B$44)-X9-Y9</f>
        <v/>
      </c>
      <c r="AA9" s="15">
        <f>Q9+R9</f>
        <v/>
      </c>
      <c r="AB9" s="15">
        <f>AA9*(1-Assumptions!$B$44)-IF(AND(Assumptions!$B$34=1,W9&gt;2500),AA9*0.01,0)</f>
        <v/>
      </c>
      <c r="AC9" s="15">
        <f>T9*Assumptions!$B$35+P9*Assumptions!$B$36</f>
        <v/>
      </c>
      <c r="AD9" s="14">
        <f>AD8+B9</f>
        <v/>
      </c>
      <c r="AE9" s="15">
        <f>Z9+V9</f>
        <v/>
      </c>
    </row>
    <row r="10">
      <c r="A10" s="14" t="n">
        <v>9</v>
      </c>
      <c r="B10" s="14">
        <f>Assumptions!$B$5*(1+Assumptions!$B$6)^(A10-1)*Assumptions!$B$42</f>
        <v/>
      </c>
      <c r="C10" s="14">
        <f>Assumptions!$B$9*C9+B9*Assumptions!$B$8</f>
        <v/>
      </c>
      <c r="D10" s="14">
        <f>B10+C10</f>
        <v/>
      </c>
      <c r="E10" s="14">
        <f>B10*Assumptions!$B$12</f>
        <v/>
      </c>
      <c r="F10" s="14">
        <f>E10*Assumptions!$B$13+D10*Assumptions!$B$14</f>
        <v/>
      </c>
      <c r="G10" s="14">
        <f>IF(A10&lt;=Assumptions!$B$23,F10*Assumptions!$B$22,0)</f>
        <v/>
      </c>
      <c r="H10" s="14">
        <f>(F10-G10)*(1-Assumptions!$B$15)</f>
        <v/>
      </c>
      <c r="I10" s="14">
        <f>(F10-G10)*Assumptions!$B$15</f>
        <v/>
      </c>
      <c r="J10" s="12">
        <f>IF(A10&lt;=Assumptions!$B$25,Assumptions!$B$46,Assumptions!$B$20)</f>
        <v/>
      </c>
      <c r="K10" s="14">
        <f>K9*(1-Assumptions!$B$28)+H10</f>
        <v/>
      </c>
      <c r="L10" s="14">
        <f>SUM(I2:I10)</f>
        <v/>
      </c>
      <c r="M10" s="14" t="n">
        <v>0</v>
      </c>
      <c r="N10" s="14">
        <f>L10+M10</f>
        <v/>
      </c>
      <c r="O10" s="14">
        <f>O9+G10</f>
        <v/>
      </c>
      <c r="P10" s="14">
        <f>K10+N10+O10</f>
        <v/>
      </c>
      <c r="Q10" s="15">
        <f>K10*Assumptions!$B$19</f>
        <v/>
      </c>
      <c r="R10" s="15">
        <f>SUMPRODUCT(I2:I10,J2:J10)/12+M10*Assumptions!$B$20/12</f>
        <v/>
      </c>
      <c r="S10" s="15">
        <f>G10*Assumptions!$B$21</f>
        <v/>
      </c>
      <c r="T10" s="14">
        <f>MAX(D10-P10,0)</f>
        <v/>
      </c>
      <c r="U10" s="14">
        <f>T10*Assumptions!$B$10</f>
        <v/>
      </c>
      <c r="V10" s="15">
        <f>U10*Assumptions!$B$38*Assumptions!$B$37/1000*30.4</f>
        <v/>
      </c>
      <c r="W10" s="15">
        <f>Q10+R10+S10</f>
        <v/>
      </c>
      <c r="X10" s="15">
        <f>Assumptions!$B$43*(F10+K10)*0.3</f>
        <v/>
      </c>
      <c r="Y10" s="15">
        <f>IF(AND(Assumptions!$B$34=1,W10&gt;2500),W10*0.01,0)</f>
        <v/>
      </c>
      <c r="Z10" s="15">
        <f>W10*(1-Assumptions!$B$44)-X10-Y10</f>
        <v/>
      </c>
      <c r="AA10" s="15">
        <f>Q10+R10</f>
        <v/>
      </c>
      <c r="AB10" s="15">
        <f>AA10*(1-Assumptions!$B$44)-IF(AND(Assumptions!$B$34=1,W10&gt;2500),AA10*0.01,0)</f>
        <v/>
      </c>
      <c r="AC10" s="15">
        <f>T10*Assumptions!$B$35+P10*Assumptions!$B$36</f>
        <v/>
      </c>
      <c r="AD10" s="14">
        <f>AD9+B10</f>
        <v/>
      </c>
      <c r="AE10" s="15">
        <f>Z10+V10</f>
        <v/>
      </c>
    </row>
    <row r="11">
      <c r="A11" s="14" t="n">
        <v>10</v>
      </c>
      <c r="B11" s="14">
        <f>Assumptions!$B$5*(1+Assumptions!$B$6)^(A11-1)*Assumptions!$B$42</f>
        <v/>
      </c>
      <c r="C11" s="14">
        <f>Assumptions!$B$9*C10+B10*Assumptions!$B$8</f>
        <v/>
      </c>
      <c r="D11" s="14">
        <f>B11+C11</f>
        <v/>
      </c>
      <c r="E11" s="14">
        <f>B11*Assumptions!$B$12</f>
        <v/>
      </c>
      <c r="F11" s="14">
        <f>E11*Assumptions!$B$13+D11*Assumptions!$B$14</f>
        <v/>
      </c>
      <c r="G11" s="14">
        <f>IF(A11&lt;=Assumptions!$B$23,F11*Assumptions!$B$22,0)</f>
        <v/>
      </c>
      <c r="H11" s="14">
        <f>(F11-G11)*(1-Assumptions!$B$15)</f>
        <v/>
      </c>
      <c r="I11" s="14">
        <f>(F11-G11)*Assumptions!$B$15</f>
        <v/>
      </c>
      <c r="J11" s="12">
        <f>IF(A11&lt;=Assumptions!$B$25,Assumptions!$B$46,Assumptions!$B$20)</f>
        <v/>
      </c>
      <c r="K11" s="14">
        <f>K10*(1-Assumptions!$B$28)+H11</f>
        <v/>
      </c>
      <c r="L11" s="14">
        <f>SUM(I2:I11)</f>
        <v/>
      </c>
      <c r="M11" s="14" t="n">
        <v>0</v>
      </c>
      <c r="N11" s="14">
        <f>L11+M11</f>
        <v/>
      </c>
      <c r="O11" s="14">
        <f>O10+G11</f>
        <v/>
      </c>
      <c r="P11" s="14">
        <f>K11+N11+O11</f>
        <v/>
      </c>
      <c r="Q11" s="15">
        <f>K11*Assumptions!$B$19</f>
        <v/>
      </c>
      <c r="R11" s="15">
        <f>SUMPRODUCT(I2:I11,J2:J11)/12+M11*Assumptions!$B$20/12</f>
        <v/>
      </c>
      <c r="S11" s="15">
        <f>G11*Assumptions!$B$21</f>
        <v/>
      </c>
      <c r="T11" s="14">
        <f>MAX(D11-P11,0)</f>
        <v/>
      </c>
      <c r="U11" s="14">
        <f>T11*Assumptions!$B$10</f>
        <v/>
      </c>
      <c r="V11" s="15">
        <f>U11*Assumptions!$B$38*Assumptions!$B$37/1000*30.4</f>
        <v/>
      </c>
      <c r="W11" s="15">
        <f>Q11+R11+S11</f>
        <v/>
      </c>
      <c r="X11" s="15">
        <f>Assumptions!$B$43*(F11+K11)*0.3</f>
        <v/>
      </c>
      <c r="Y11" s="15">
        <f>IF(AND(Assumptions!$B$34=1,W11&gt;2500),W11*0.01,0)</f>
        <v/>
      </c>
      <c r="Z11" s="15">
        <f>W11*(1-Assumptions!$B$44)-X11-Y11</f>
        <v/>
      </c>
      <c r="AA11" s="15">
        <f>Q11+R11</f>
        <v/>
      </c>
      <c r="AB11" s="15">
        <f>AA11*(1-Assumptions!$B$44)-IF(AND(Assumptions!$B$34=1,W11&gt;2500),AA11*0.01,0)</f>
        <v/>
      </c>
      <c r="AC11" s="15">
        <f>T11*Assumptions!$B$35+P11*Assumptions!$B$36</f>
        <v/>
      </c>
      <c r="AD11" s="14">
        <f>AD10+B11</f>
        <v/>
      </c>
      <c r="AE11" s="15">
        <f>Z11+V11</f>
        <v/>
      </c>
    </row>
    <row r="12">
      <c r="A12" s="14" t="n">
        <v>11</v>
      </c>
      <c r="B12" s="14">
        <f>Assumptions!$B$5*(1+Assumptions!$B$6)^(A12-1)*Assumptions!$B$42</f>
        <v/>
      </c>
      <c r="C12" s="14">
        <f>Assumptions!$B$9*C11+B11*Assumptions!$B$8</f>
        <v/>
      </c>
      <c r="D12" s="14">
        <f>B12+C12</f>
        <v/>
      </c>
      <c r="E12" s="14">
        <f>B12*Assumptions!$B$12</f>
        <v/>
      </c>
      <c r="F12" s="14">
        <f>E12*Assumptions!$B$13+D12*Assumptions!$B$14</f>
        <v/>
      </c>
      <c r="G12" s="14">
        <f>IF(A12&lt;=Assumptions!$B$23,F12*Assumptions!$B$22,0)</f>
        <v/>
      </c>
      <c r="H12" s="14">
        <f>(F12-G12)*(1-Assumptions!$B$15)</f>
        <v/>
      </c>
      <c r="I12" s="14">
        <f>(F12-G12)*Assumptions!$B$15</f>
        <v/>
      </c>
      <c r="J12" s="12">
        <f>IF(A12&lt;=Assumptions!$B$25,Assumptions!$B$46,Assumptions!$B$20)</f>
        <v/>
      </c>
      <c r="K12" s="14">
        <f>K11*(1-Assumptions!$B$28)+H12</f>
        <v/>
      </c>
      <c r="L12" s="14">
        <f>SUM(I2:I12)</f>
        <v/>
      </c>
      <c r="M12" s="14" t="n">
        <v>0</v>
      </c>
      <c r="N12" s="14">
        <f>L12+M12</f>
        <v/>
      </c>
      <c r="O12" s="14">
        <f>O11+G12</f>
        <v/>
      </c>
      <c r="P12" s="14">
        <f>K12+N12+O12</f>
        <v/>
      </c>
      <c r="Q12" s="15">
        <f>K12*Assumptions!$B$19</f>
        <v/>
      </c>
      <c r="R12" s="15">
        <f>SUMPRODUCT(I2:I12,J2:J12)/12+M12*Assumptions!$B$20/12</f>
        <v/>
      </c>
      <c r="S12" s="15">
        <f>G12*Assumptions!$B$21</f>
        <v/>
      </c>
      <c r="T12" s="14">
        <f>MAX(D12-P12,0)</f>
        <v/>
      </c>
      <c r="U12" s="14">
        <f>T12*Assumptions!$B$10</f>
        <v/>
      </c>
      <c r="V12" s="15">
        <f>U12*Assumptions!$B$38*Assumptions!$B$37/1000*30.4</f>
        <v/>
      </c>
      <c r="W12" s="15">
        <f>Q12+R12+S12</f>
        <v/>
      </c>
      <c r="X12" s="15">
        <f>Assumptions!$B$43*(F12+K12)*0.3</f>
        <v/>
      </c>
      <c r="Y12" s="15">
        <f>IF(AND(Assumptions!$B$34=1,W12&gt;2500),W12*0.01,0)</f>
        <v/>
      </c>
      <c r="Z12" s="15">
        <f>W12*(1-Assumptions!$B$44)-X12-Y12</f>
        <v/>
      </c>
      <c r="AA12" s="15">
        <f>Q12+R12</f>
        <v/>
      </c>
      <c r="AB12" s="15">
        <f>AA12*(1-Assumptions!$B$44)-IF(AND(Assumptions!$B$34=1,W12&gt;2500),AA12*0.01,0)</f>
        <v/>
      </c>
      <c r="AC12" s="15">
        <f>T12*Assumptions!$B$35+P12*Assumptions!$B$36</f>
        <v/>
      </c>
      <c r="AD12" s="14">
        <f>AD11+B12</f>
        <v/>
      </c>
      <c r="AE12" s="15">
        <f>Z12+V12</f>
        <v/>
      </c>
    </row>
    <row r="13">
      <c r="A13" s="14" t="n">
        <v>12</v>
      </c>
      <c r="B13" s="14">
        <f>Assumptions!$B$5*(1+Assumptions!$B$6)^(A13-1)*Assumptions!$B$42</f>
        <v/>
      </c>
      <c r="C13" s="14">
        <f>Assumptions!$B$9*C12+B12*Assumptions!$B$8</f>
        <v/>
      </c>
      <c r="D13" s="14">
        <f>B13+C13</f>
        <v/>
      </c>
      <c r="E13" s="14">
        <f>B13*Assumptions!$B$12</f>
        <v/>
      </c>
      <c r="F13" s="14">
        <f>E13*Assumptions!$B$13+D13*Assumptions!$B$14</f>
        <v/>
      </c>
      <c r="G13" s="14">
        <f>IF(A13&lt;=Assumptions!$B$23,F13*Assumptions!$B$22,0)</f>
        <v/>
      </c>
      <c r="H13" s="14">
        <f>(F13-G13)*(1-Assumptions!$B$15)</f>
        <v/>
      </c>
      <c r="I13" s="14">
        <f>(F13-G13)*Assumptions!$B$15</f>
        <v/>
      </c>
      <c r="J13" s="12">
        <f>IF(A13&lt;=Assumptions!$B$25,Assumptions!$B$46,Assumptions!$B$20)</f>
        <v/>
      </c>
      <c r="K13" s="14">
        <f>K12*(1-Assumptions!$B$28)+H13</f>
        <v/>
      </c>
      <c r="L13" s="14">
        <f>SUM(I2:I13)</f>
        <v/>
      </c>
      <c r="M13" s="14" t="n">
        <v>0</v>
      </c>
      <c r="N13" s="14">
        <f>L13+M13</f>
        <v/>
      </c>
      <c r="O13" s="14">
        <f>O12+G13</f>
        <v/>
      </c>
      <c r="P13" s="14">
        <f>K13+N13+O13</f>
        <v/>
      </c>
      <c r="Q13" s="15">
        <f>K13*Assumptions!$B$19</f>
        <v/>
      </c>
      <c r="R13" s="15">
        <f>SUMPRODUCT(I2:I13,J2:J13)/12+M13*Assumptions!$B$20/12</f>
        <v/>
      </c>
      <c r="S13" s="15">
        <f>G13*Assumptions!$B$21</f>
        <v/>
      </c>
      <c r="T13" s="14">
        <f>MAX(D13-P13,0)</f>
        <v/>
      </c>
      <c r="U13" s="14">
        <f>T13*Assumptions!$B$10</f>
        <v/>
      </c>
      <c r="V13" s="15">
        <f>U13*Assumptions!$B$38*Assumptions!$B$37/1000*30.4</f>
        <v/>
      </c>
      <c r="W13" s="15">
        <f>Q13+R13+S13</f>
        <v/>
      </c>
      <c r="X13" s="15">
        <f>Assumptions!$B$43*(F13+K13)*0.3</f>
        <v/>
      </c>
      <c r="Y13" s="15">
        <f>IF(AND(Assumptions!$B$34=1,W13&gt;2500),W13*0.01,0)</f>
        <v/>
      </c>
      <c r="Z13" s="15">
        <f>W13*(1-Assumptions!$B$44)-X13-Y13</f>
        <v/>
      </c>
      <c r="AA13" s="15">
        <f>Q13+R13</f>
        <v/>
      </c>
      <c r="AB13" s="15">
        <f>AA13*(1-Assumptions!$B$44)-IF(AND(Assumptions!$B$34=1,W13&gt;2500),AA13*0.01,0)</f>
        <v/>
      </c>
      <c r="AC13" s="15">
        <f>T13*Assumptions!$B$35+P13*Assumptions!$B$36</f>
        <v/>
      </c>
      <c r="AD13" s="14">
        <f>AD12+B13</f>
        <v/>
      </c>
      <c r="AE13" s="15">
        <f>Z13+V13</f>
        <v/>
      </c>
    </row>
    <row r="14">
      <c r="A14" s="14" t="n">
        <v>13</v>
      </c>
      <c r="B14" s="14">
        <f>Assumptions!$B$5*(1+Assumptions!$B$6)^(A14-1)*Assumptions!$B$42</f>
        <v/>
      </c>
      <c r="C14" s="14">
        <f>Assumptions!$B$9*C13+B13*Assumptions!$B$8</f>
        <v/>
      </c>
      <c r="D14" s="14">
        <f>B14+C14</f>
        <v/>
      </c>
      <c r="E14" s="14">
        <f>B14*Assumptions!$B$12</f>
        <v/>
      </c>
      <c r="F14" s="14">
        <f>E14*Assumptions!$B$13+D14*Assumptions!$B$14</f>
        <v/>
      </c>
      <c r="G14" s="14">
        <f>IF(A14&lt;=Assumptions!$B$23,F14*Assumptions!$B$22,0)</f>
        <v/>
      </c>
      <c r="H14" s="14">
        <f>(F14-G14)*(1-Assumptions!$B$15)</f>
        <v/>
      </c>
      <c r="I14" s="14">
        <f>(F14-G14)*Assumptions!$B$15</f>
        <v/>
      </c>
      <c r="J14" s="12">
        <f>IF(A14&lt;=Assumptions!$B$25,Assumptions!$B$46,Assumptions!$B$20)</f>
        <v/>
      </c>
      <c r="K14" s="14">
        <f>K13*(1-Assumptions!$B$28)+H14</f>
        <v/>
      </c>
      <c r="L14" s="14">
        <f>SUM(I3:I14)</f>
        <v/>
      </c>
      <c r="M14" s="14">
        <f>Assumptions!$B$29*SUM(I2:I2)</f>
        <v/>
      </c>
      <c r="N14" s="14">
        <f>L14+M14</f>
        <v/>
      </c>
      <c r="O14" s="14">
        <f>O13+G14</f>
        <v/>
      </c>
      <c r="P14" s="14">
        <f>K14+N14+O14</f>
        <v/>
      </c>
      <c r="Q14" s="15">
        <f>K14*Assumptions!$B$19</f>
        <v/>
      </c>
      <c r="R14" s="15">
        <f>SUMPRODUCT(I3:I14,J3:J14)/12+M14*Assumptions!$B$20/12</f>
        <v/>
      </c>
      <c r="S14" s="15">
        <f>G14*Assumptions!$B$21</f>
        <v/>
      </c>
      <c r="T14" s="14">
        <f>MAX(D14-P14,0)</f>
        <v/>
      </c>
      <c r="U14" s="14">
        <f>T14*Assumptions!$B$10</f>
        <v/>
      </c>
      <c r="V14" s="15">
        <f>U14*Assumptions!$B$38*Assumptions!$B$37/1000*30.4</f>
        <v/>
      </c>
      <c r="W14" s="15">
        <f>Q14+R14+S14</f>
        <v/>
      </c>
      <c r="X14" s="15">
        <f>Assumptions!$B$43*(F14+K14)*0.3</f>
        <v/>
      </c>
      <c r="Y14" s="15">
        <f>IF(AND(Assumptions!$B$34=1,W14&gt;2500),W14*0.01,0)</f>
        <v/>
      </c>
      <c r="Z14" s="15">
        <f>W14*(1-Assumptions!$B$44)-X14-Y14</f>
        <v/>
      </c>
      <c r="AA14" s="15">
        <f>Q14+R14</f>
        <v/>
      </c>
      <c r="AB14" s="15">
        <f>AA14*(1-Assumptions!$B$44)-IF(AND(Assumptions!$B$34=1,W14&gt;2500),AA14*0.01,0)</f>
        <v/>
      </c>
      <c r="AC14" s="15">
        <f>T14*Assumptions!$B$35+P14*Assumptions!$B$36</f>
        <v/>
      </c>
      <c r="AD14" s="14">
        <f>AD13+B14</f>
        <v/>
      </c>
      <c r="AE14" s="15">
        <f>Z14+V14</f>
        <v/>
      </c>
    </row>
    <row r="15">
      <c r="A15" s="14" t="n">
        <v>14</v>
      </c>
      <c r="B15" s="14">
        <f>Assumptions!$B$5*(1+Assumptions!$B$6)^(A15-1)*Assumptions!$B$42</f>
        <v/>
      </c>
      <c r="C15" s="14">
        <f>Assumptions!$B$9*C14+B14*Assumptions!$B$8</f>
        <v/>
      </c>
      <c r="D15" s="14">
        <f>B15+C15</f>
        <v/>
      </c>
      <c r="E15" s="14">
        <f>B15*Assumptions!$B$12</f>
        <v/>
      </c>
      <c r="F15" s="14">
        <f>E15*Assumptions!$B$13+D15*Assumptions!$B$14</f>
        <v/>
      </c>
      <c r="G15" s="14">
        <f>IF(A15&lt;=Assumptions!$B$23,F15*Assumptions!$B$22,0)</f>
        <v/>
      </c>
      <c r="H15" s="14">
        <f>(F15-G15)*(1-Assumptions!$B$15)</f>
        <v/>
      </c>
      <c r="I15" s="14">
        <f>(F15-G15)*Assumptions!$B$15</f>
        <v/>
      </c>
      <c r="J15" s="12">
        <f>IF(A15&lt;=Assumptions!$B$25,Assumptions!$B$46,Assumptions!$B$20)</f>
        <v/>
      </c>
      <c r="K15" s="14">
        <f>K14*(1-Assumptions!$B$28)+H15</f>
        <v/>
      </c>
      <c r="L15" s="14">
        <f>SUM(I4:I15)</f>
        <v/>
      </c>
      <c r="M15" s="14">
        <f>Assumptions!$B$29*SUM(I2:I3)</f>
        <v/>
      </c>
      <c r="N15" s="14">
        <f>L15+M15</f>
        <v/>
      </c>
      <c r="O15" s="14">
        <f>O14+G15</f>
        <v/>
      </c>
      <c r="P15" s="14">
        <f>K15+N15+O15</f>
        <v/>
      </c>
      <c r="Q15" s="15">
        <f>K15*Assumptions!$B$19</f>
        <v/>
      </c>
      <c r="R15" s="15">
        <f>SUMPRODUCT(I4:I15,J4:J15)/12+M15*Assumptions!$B$20/12</f>
        <v/>
      </c>
      <c r="S15" s="15">
        <f>G15*Assumptions!$B$21</f>
        <v/>
      </c>
      <c r="T15" s="14">
        <f>MAX(D15-P15,0)</f>
        <v/>
      </c>
      <c r="U15" s="14">
        <f>T15*Assumptions!$B$10</f>
        <v/>
      </c>
      <c r="V15" s="15">
        <f>U15*Assumptions!$B$38*Assumptions!$B$37/1000*30.4</f>
        <v/>
      </c>
      <c r="W15" s="15">
        <f>Q15+R15+S15</f>
        <v/>
      </c>
      <c r="X15" s="15">
        <f>Assumptions!$B$43*(F15+K15)*0.3</f>
        <v/>
      </c>
      <c r="Y15" s="15">
        <f>IF(AND(Assumptions!$B$34=1,W15&gt;2500),W15*0.01,0)</f>
        <v/>
      </c>
      <c r="Z15" s="15">
        <f>W15*(1-Assumptions!$B$44)-X15-Y15</f>
        <v/>
      </c>
      <c r="AA15" s="15">
        <f>Q15+R15</f>
        <v/>
      </c>
      <c r="AB15" s="15">
        <f>AA15*(1-Assumptions!$B$44)-IF(AND(Assumptions!$B$34=1,W15&gt;2500),AA15*0.01,0)</f>
        <v/>
      </c>
      <c r="AC15" s="15">
        <f>T15*Assumptions!$B$35+P15*Assumptions!$B$36</f>
        <v/>
      </c>
      <c r="AD15" s="14">
        <f>AD14+B15</f>
        <v/>
      </c>
      <c r="AE15" s="15">
        <f>Z15+V15</f>
        <v/>
      </c>
    </row>
    <row r="16">
      <c r="A16" s="14" t="n">
        <v>15</v>
      </c>
      <c r="B16" s="14">
        <f>Assumptions!$B$5*(1+Assumptions!$B$6)^(A16-1)*Assumptions!$B$42</f>
        <v/>
      </c>
      <c r="C16" s="14">
        <f>Assumptions!$B$9*C15+B15*Assumptions!$B$8</f>
        <v/>
      </c>
      <c r="D16" s="14">
        <f>B16+C16</f>
        <v/>
      </c>
      <c r="E16" s="14">
        <f>B16*Assumptions!$B$12</f>
        <v/>
      </c>
      <c r="F16" s="14">
        <f>E16*Assumptions!$B$13+D16*Assumptions!$B$14</f>
        <v/>
      </c>
      <c r="G16" s="14">
        <f>IF(A16&lt;=Assumptions!$B$23,F16*Assumptions!$B$22,0)</f>
        <v/>
      </c>
      <c r="H16" s="14">
        <f>(F16-G16)*(1-Assumptions!$B$15)</f>
        <v/>
      </c>
      <c r="I16" s="14">
        <f>(F16-G16)*Assumptions!$B$15</f>
        <v/>
      </c>
      <c r="J16" s="12">
        <f>IF(A16&lt;=Assumptions!$B$25,Assumptions!$B$46,Assumptions!$B$20)</f>
        <v/>
      </c>
      <c r="K16" s="14">
        <f>K15*(1-Assumptions!$B$28)+H16</f>
        <v/>
      </c>
      <c r="L16" s="14">
        <f>SUM(I5:I16)</f>
        <v/>
      </c>
      <c r="M16" s="14">
        <f>Assumptions!$B$29*SUM(I2:I4)</f>
        <v/>
      </c>
      <c r="N16" s="14">
        <f>L16+M16</f>
        <v/>
      </c>
      <c r="O16" s="14">
        <f>O15+G16</f>
        <v/>
      </c>
      <c r="P16" s="14">
        <f>K16+N16+O16</f>
        <v/>
      </c>
      <c r="Q16" s="15">
        <f>K16*Assumptions!$B$19</f>
        <v/>
      </c>
      <c r="R16" s="15">
        <f>SUMPRODUCT(I5:I16,J5:J16)/12+M16*Assumptions!$B$20/12</f>
        <v/>
      </c>
      <c r="S16" s="15">
        <f>G16*Assumptions!$B$21</f>
        <v/>
      </c>
      <c r="T16" s="14">
        <f>MAX(D16-P16,0)</f>
        <v/>
      </c>
      <c r="U16" s="14">
        <f>T16*Assumptions!$B$10</f>
        <v/>
      </c>
      <c r="V16" s="15">
        <f>U16*Assumptions!$B$38*Assumptions!$B$37/1000*30.4</f>
        <v/>
      </c>
      <c r="W16" s="15">
        <f>Q16+R16+S16</f>
        <v/>
      </c>
      <c r="X16" s="15">
        <f>Assumptions!$B$43*(F16+K16)*0.3</f>
        <v/>
      </c>
      <c r="Y16" s="15">
        <f>IF(AND(Assumptions!$B$34=1,W16&gt;2500),W16*0.01,0)</f>
        <v/>
      </c>
      <c r="Z16" s="15">
        <f>W16*(1-Assumptions!$B$44)-X16-Y16</f>
        <v/>
      </c>
      <c r="AA16" s="15">
        <f>Q16+R16</f>
        <v/>
      </c>
      <c r="AB16" s="15">
        <f>AA16*(1-Assumptions!$B$44)-IF(AND(Assumptions!$B$34=1,W16&gt;2500),AA16*0.01,0)</f>
        <v/>
      </c>
      <c r="AC16" s="15">
        <f>T16*Assumptions!$B$35+P16*Assumptions!$B$36</f>
        <v/>
      </c>
      <c r="AD16" s="14">
        <f>AD15+B16</f>
        <v/>
      </c>
      <c r="AE16" s="15">
        <f>Z16+V16</f>
        <v/>
      </c>
    </row>
    <row r="17">
      <c r="A17" s="14" t="n">
        <v>16</v>
      </c>
      <c r="B17" s="14">
        <f>Assumptions!$B$5*(1+Assumptions!$B$6)^(A17-1)*Assumptions!$B$42</f>
        <v/>
      </c>
      <c r="C17" s="14">
        <f>Assumptions!$B$9*C16+B16*Assumptions!$B$8</f>
        <v/>
      </c>
      <c r="D17" s="14">
        <f>B17+C17</f>
        <v/>
      </c>
      <c r="E17" s="14">
        <f>B17*Assumptions!$B$12</f>
        <v/>
      </c>
      <c r="F17" s="14">
        <f>E17*Assumptions!$B$13+D17*Assumptions!$B$14</f>
        <v/>
      </c>
      <c r="G17" s="14">
        <f>IF(A17&lt;=Assumptions!$B$23,F17*Assumptions!$B$22,0)</f>
        <v/>
      </c>
      <c r="H17" s="14">
        <f>(F17-G17)*(1-Assumptions!$B$15)</f>
        <v/>
      </c>
      <c r="I17" s="14">
        <f>(F17-G17)*Assumptions!$B$15</f>
        <v/>
      </c>
      <c r="J17" s="12">
        <f>IF(A17&lt;=Assumptions!$B$25,Assumptions!$B$46,Assumptions!$B$20)</f>
        <v/>
      </c>
      <c r="K17" s="14">
        <f>K16*(1-Assumptions!$B$28)+H17</f>
        <v/>
      </c>
      <c r="L17" s="14">
        <f>SUM(I6:I17)</f>
        <v/>
      </c>
      <c r="M17" s="14">
        <f>Assumptions!$B$29*SUM(I2:I5)</f>
        <v/>
      </c>
      <c r="N17" s="14">
        <f>L17+M17</f>
        <v/>
      </c>
      <c r="O17" s="14">
        <f>O16+G17</f>
        <v/>
      </c>
      <c r="P17" s="14">
        <f>K17+N17+O17</f>
        <v/>
      </c>
      <c r="Q17" s="15">
        <f>K17*Assumptions!$B$19</f>
        <v/>
      </c>
      <c r="R17" s="15">
        <f>SUMPRODUCT(I6:I17,J6:J17)/12+M17*Assumptions!$B$20/12</f>
        <v/>
      </c>
      <c r="S17" s="15">
        <f>G17*Assumptions!$B$21</f>
        <v/>
      </c>
      <c r="T17" s="14">
        <f>MAX(D17-P17,0)</f>
        <v/>
      </c>
      <c r="U17" s="14">
        <f>T17*Assumptions!$B$10</f>
        <v/>
      </c>
      <c r="V17" s="15">
        <f>U17*Assumptions!$B$38*Assumptions!$B$37/1000*30.4</f>
        <v/>
      </c>
      <c r="W17" s="15">
        <f>Q17+R17+S17</f>
        <v/>
      </c>
      <c r="X17" s="15">
        <f>Assumptions!$B$43*(F17+K17)*0.3</f>
        <v/>
      </c>
      <c r="Y17" s="15">
        <f>IF(AND(Assumptions!$B$34=1,W17&gt;2500),W17*0.01,0)</f>
        <v/>
      </c>
      <c r="Z17" s="15">
        <f>W17*(1-Assumptions!$B$44)-X17-Y17</f>
        <v/>
      </c>
      <c r="AA17" s="15">
        <f>Q17+R17</f>
        <v/>
      </c>
      <c r="AB17" s="15">
        <f>AA17*(1-Assumptions!$B$44)-IF(AND(Assumptions!$B$34=1,W17&gt;2500),AA17*0.01,0)</f>
        <v/>
      </c>
      <c r="AC17" s="15">
        <f>T17*Assumptions!$B$35+P17*Assumptions!$B$36</f>
        <v/>
      </c>
      <c r="AD17" s="14">
        <f>AD16+B17</f>
        <v/>
      </c>
      <c r="AE17" s="15">
        <f>Z17+V17</f>
        <v/>
      </c>
    </row>
    <row r="18">
      <c r="A18" s="14" t="n">
        <v>17</v>
      </c>
      <c r="B18" s="14">
        <f>Assumptions!$B$5*(1+Assumptions!$B$6)^(A18-1)*Assumptions!$B$42</f>
        <v/>
      </c>
      <c r="C18" s="14">
        <f>Assumptions!$B$9*C17+B17*Assumptions!$B$8</f>
        <v/>
      </c>
      <c r="D18" s="14">
        <f>B18+C18</f>
        <v/>
      </c>
      <c r="E18" s="14">
        <f>B18*Assumptions!$B$12</f>
        <v/>
      </c>
      <c r="F18" s="14">
        <f>E18*Assumptions!$B$13+D18*Assumptions!$B$14</f>
        <v/>
      </c>
      <c r="G18" s="14">
        <f>IF(A18&lt;=Assumptions!$B$23,F18*Assumptions!$B$22,0)</f>
        <v/>
      </c>
      <c r="H18" s="14">
        <f>(F18-G18)*(1-Assumptions!$B$15)</f>
        <v/>
      </c>
      <c r="I18" s="14">
        <f>(F18-G18)*Assumptions!$B$15</f>
        <v/>
      </c>
      <c r="J18" s="12">
        <f>IF(A18&lt;=Assumptions!$B$25,Assumptions!$B$46,Assumptions!$B$20)</f>
        <v/>
      </c>
      <c r="K18" s="14">
        <f>K17*(1-Assumptions!$B$28)+H18</f>
        <v/>
      </c>
      <c r="L18" s="14">
        <f>SUM(I7:I18)</f>
        <v/>
      </c>
      <c r="M18" s="14">
        <f>Assumptions!$B$29*SUM(I2:I6)</f>
        <v/>
      </c>
      <c r="N18" s="14">
        <f>L18+M18</f>
        <v/>
      </c>
      <c r="O18" s="14">
        <f>O17+G18</f>
        <v/>
      </c>
      <c r="P18" s="14">
        <f>K18+N18+O18</f>
        <v/>
      </c>
      <c r="Q18" s="15">
        <f>K18*Assumptions!$B$19</f>
        <v/>
      </c>
      <c r="R18" s="15">
        <f>SUMPRODUCT(I7:I18,J7:J18)/12+M18*Assumptions!$B$20/12</f>
        <v/>
      </c>
      <c r="S18" s="15">
        <f>G18*Assumptions!$B$21</f>
        <v/>
      </c>
      <c r="T18" s="14">
        <f>MAX(D18-P18,0)</f>
        <v/>
      </c>
      <c r="U18" s="14">
        <f>T18*Assumptions!$B$10</f>
        <v/>
      </c>
      <c r="V18" s="15">
        <f>U18*Assumptions!$B$38*Assumptions!$B$37/1000*30.4</f>
        <v/>
      </c>
      <c r="W18" s="15">
        <f>Q18+R18+S18</f>
        <v/>
      </c>
      <c r="X18" s="15">
        <f>Assumptions!$B$43*(F18+K18)*0.3</f>
        <v/>
      </c>
      <c r="Y18" s="15">
        <f>IF(AND(Assumptions!$B$34=1,W18&gt;2500),W18*0.01,0)</f>
        <v/>
      </c>
      <c r="Z18" s="15">
        <f>W18*(1-Assumptions!$B$44)-X18-Y18</f>
        <v/>
      </c>
      <c r="AA18" s="15">
        <f>Q18+R18</f>
        <v/>
      </c>
      <c r="AB18" s="15">
        <f>AA18*(1-Assumptions!$B$44)-IF(AND(Assumptions!$B$34=1,W18&gt;2500),AA18*0.01,0)</f>
        <v/>
      </c>
      <c r="AC18" s="15">
        <f>T18*Assumptions!$B$35+P18*Assumptions!$B$36</f>
        <v/>
      </c>
      <c r="AD18" s="14">
        <f>AD17+B18</f>
        <v/>
      </c>
      <c r="AE18" s="15">
        <f>Z18+V18</f>
        <v/>
      </c>
    </row>
    <row r="19">
      <c r="A19" s="14" t="n">
        <v>18</v>
      </c>
      <c r="B19" s="14">
        <f>Assumptions!$B$5*(1+Assumptions!$B$6)^(A19-1)*Assumptions!$B$42</f>
        <v/>
      </c>
      <c r="C19" s="14">
        <f>Assumptions!$B$9*C18+B18*Assumptions!$B$8</f>
        <v/>
      </c>
      <c r="D19" s="14">
        <f>B19+C19</f>
        <v/>
      </c>
      <c r="E19" s="14">
        <f>B19*Assumptions!$B$12</f>
        <v/>
      </c>
      <c r="F19" s="14">
        <f>E19*Assumptions!$B$13+D19*Assumptions!$B$14</f>
        <v/>
      </c>
      <c r="G19" s="14">
        <f>IF(A19&lt;=Assumptions!$B$23,F19*Assumptions!$B$22,0)</f>
        <v/>
      </c>
      <c r="H19" s="14">
        <f>(F19-G19)*(1-Assumptions!$B$15)</f>
        <v/>
      </c>
      <c r="I19" s="14">
        <f>(F19-G19)*Assumptions!$B$15</f>
        <v/>
      </c>
      <c r="J19" s="12">
        <f>IF(A19&lt;=Assumptions!$B$25,Assumptions!$B$46,Assumptions!$B$20)</f>
        <v/>
      </c>
      <c r="K19" s="14">
        <f>K18*(1-Assumptions!$B$28)+H19</f>
        <v/>
      </c>
      <c r="L19" s="14">
        <f>SUM(I8:I19)</f>
        <v/>
      </c>
      <c r="M19" s="14">
        <f>Assumptions!$B$29*SUM(I2:I7)</f>
        <v/>
      </c>
      <c r="N19" s="14">
        <f>L19+M19</f>
        <v/>
      </c>
      <c r="O19" s="14">
        <f>O18+G19</f>
        <v/>
      </c>
      <c r="P19" s="14">
        <f>K19+N19+O19</f>
        <v/>
      </c>
      <c r="Q19" s="15">
        <f>K19*Assumptions!$B$19</f>
        <v/>
      </c>
      <c r="R19" s="15">
        <f>SUMPRODUCT(I8:I19,J8:J19)/12+M19*Assumptions!$B$20/12</f>
        <v/>
      </c>
      <c r="S19" s="15">
        <f>G19*Assumptions!$B$21</f>
        <v/>
      </c>
      <c r="T19" s="14">
        <f>MAX(D19-P19,0)</f>
        <v/>
      </c>
      <c r="U19" s="14">
        <f>T19*Assumptions!$B$10</f>
        <v/>
      </c>
      <c r="V19" s="15">
        <f>U19*Assumptions!$B$38*Assumptions!$B$37/1000*30.4</f>
        <v/>
      </c>
      <c r="W19" s="15">
        <f>Q19+R19+S19</f>
        <v/>
      </c>
      <c r="X19" s="15">
        <f>Assumptions!$B$43*(F19+K19)*0.3</f>
        <v/>
      </c>
      <c r="Y19" s="15">
        <f>IF(AND(Assumptions!$B$34=1,W19&gt;2500),W19*0.01,0)</f>
        <v/>
      </c>
      <c r="Z19" s="15">
        <f>W19*(1-Assumptions!$B$44)-X19-Y19</f>
        <v/>
      </c>
      <c r="AA19" s="15">
        <f>Q19+R19</f>
        <v/>
      </c>
      <c r="AB19" s="15">
        <f>AA19*(1-Assumptions!$B$44)-IF(AND(Assumptions!$B$34=1,W19&gt;2500),AA19*0.01,0)</f>
        <v/>
      </c>
      <c r="AC19" s="15">
        <f>T19*Assumptions!$B$35+P19*Assumptions!$B$36</f>
        <v/>
      </c>
      <c r="AD19" s="14">
        <f>AD18+B19</f>
        <v/>
      </c>
      <c r="AE19" s="15">
        <f>Z19+V19</f>
        <v/>
      </c>
    </row>
    <row r="20">
      <c r="A20" s="14" t="n">
        <v>19</v>
      </c>
      <c r="B20" s="14">
        <f>Assumptions!$B$5*(1+Assumptions!$B$6)^(A20-1)*Assumptions!$B$42</f>
        <v/>
      </c>
      <c r="C20" s="14">
        <f>Assumptions!$B$9*C19+B19*Assumptions!$B$8</f>
        <v/>
      </c>
      <c r="D20" s="14">
        <f>B20+C20</f>
        <v/>
      </c>
      <c r="E20" s="14">
        <f>B20*Assumptions!$B$12</f>
        <v/>
      </c>
      <c r="F20" s="14">
        <f>E20*Assumptions!$B$13+D20*Assumptions!$B$14</f>
        <v/>
      </c>
      <c r="G20" s="14">
        <f>IF(A20&lt;=Assumptions!$B$23,F20*Assumptions!$B$22,0)</f>
        <v/>
      </c>
      <c r="H20" s="14">
        <f>(F20-G20)*(1-Assumptions!$B$15)</f>
        <v/>
      </c>
      <c r="I20" s="14">
        <f>(F20-G20)*Assumptions!$B$15</f>
        <v/>
      </c>
      <c r="J20" s="12">
        <f>IF(A20&lt;=Assumptions!$B$25,Assumptions!$B$46,Assumptions!$B$20)</f>
        <v/>
      </c>
      <c r="K20" s="14">
        <f>K19*(1-Assumptions!$B$28)+H20</f>
        <v/>
      </c>
      <c r="L20" s="14">
        <f>SUM(I9:I20)</f>
        <v/>
      </c>
      <c r="M20" s="14">
        <f>Assumptions!$B$29*SUM(I2:I8)</f>
        <v/>
      </c>
      <c r="N20" s="14">
        <f>L20+M20</f>
        <v/>
      </c>
      <c r="O20" s="14">
        <f>O19+G20</f>
        <v/>
      </c>
      <c r="P20" s="14">
        <f>K20+N20+O20</f>
        <v/>
      </c>
      <c r="Q20" s="15">
        <f>K20*Assumptions!$B$19</f>
        <v/>
      </c>
      <c r="R20" s="15">
        <f>SUMPRODUCT(I9:I20,J9:J20)/12+M20*Assumptions!$B$20/12</f>
        <v/>
      </c>
      <c r="S20" s="15">
        <f>G20*Assumptions!$B$21</f>
        <v/>
      </c>
      <c r="T20" s="14">
        <f>MAX(D20-P20,0)</f>
        <v/>
      </c>
      <c r="U20" s="14">
        <f>T20*Assumptions!$B$10</f>
        <v/>
      </c>
      <c r="V20" s="15">
        <f>U20*Assumptions!$B$38*Assumptions!$B$37/1000*30.4</f>
        <v/>
      </c>
      <c r="W20" s="15">
        <f>Q20+R20+S20</f>
        <v/>
      </c>
      <c r="X20" s="15">
        <f>Assumptions!$B$43*(F20+K20)*0.3</f>
        <v/>
      </c>
      <c r="Y20" s="15">
        <f>IF(AND(Assumptions!$B$34=1,W20&gt;2500),W20*0.01,0)</f>
        <v/>
      </c>
      <c r="Z20" s="15">
        <f>W20*(1-Assumptions!$B$44)-X20-Y20</f>
        <v/>
      </c>
      <c r="AA20" s="15">
        <f>Q20+R20</f>
        <v/>
      </c>
      <c r="AB20" s="15">
        <f>AA20*(1-Assumptions!$B$44)-IF(AND(Assumptions!$B$34=1,W20&gt;2500),AA20*0.01,0)</f>
        <v/>
      </c>
      <c r="AC20" s="15">
        <f>T20*Assumptions!$B$35+P20*Assumptions!$B$36</f>
        <v/>
      </c>
      <c r="AD20" s="14">
        <f>AD19+B20</f>
        <v/>
      </c>
      <c r="AE20" s="15">
        <f>Z20+V20</f>
        <v/>
      </c>
    </row>
    <row r="21">
      <c r="A21" s="14" t="n">
        <v>20</v>
      </c>
      <c r="B21" s="14">
        <f>Assumptions!$B$5*(1+Assumptions!$B$6)^(A21-1)*Assumptions!$B$42</f>
        <v/>
      </c>
      <c r="C21" s="14">
        <f>Assumptions!$B$9*C20+B20*Assumptions!$B$8</f>
        <v/>
      </c>
      <c r="D21" s="14">
        <f>B21+C21</f>
        <v/>
      </c>
      <c r="E21" s="14">
        <f>B21*Assumptions!$B$12</f>
        <v/>
      </c>
      <c r="F21" s="14">
        <f>E21*Assumptions!$B$13+D21*Assumptions!$B$14</f>
        <v/>
      </c>
      <c r="G21" s="14">
        <f>IF(A21&lt;=Assumptions!$B$23,F21*Assumptions!$B$22,0)</f>
        <v/>
      </c>
      <c r="H21" s="14">
        <f>(F21-G21)*(1-Assumptions!$B$15)</f>
        <v/>
      </c>
      <c r="I21" s="14">
        <f>(F21-G21)*Assumptions!$B$15</f>
        <v/>
      </c>
      <c r="J21" s="12">
        <f>IF(A21&lt;=Assumptions!$B$25,Assumptions!$B$46,Assumptions!$B$20)</f>
        <v/>
      </c>
      <c r="K21" s="14">
        <f>K20*(1-Assumptions!$B$28)+H21</f>
        <v/>
      </c>
      <c r="L21" s="14">
        <f>SUM(I10:I21)</f>
        <v/>
      </c>
      <c r="M21" s="14">
        <f>Assumptions!$B$29*SUM(I2:I9)</f>
        <v/>
      </c>
      <c r="N21" s="14">
        <f>L21+M21</f>
        <v/>
      </c>
      <c r="O21" s="14">
        <f>O20+G21</f>
        <v/>
      </c>
      <c r="P21" s="14">
        <f>K21+N21+O21</f>
        <v/>
      </c>
      <c r="Q21" s="15">
        <f>K21*Assumptions!$B$19</f>
        <v/>
      </c>
      <c r="R21" s="15">
        <f>SUMPRODUCT(I10:I21,J10:J21)/12+M21*Assumptions!$B$20/12</f>
        <v/>
      </c>
      <c r="S21" s="15">
        <f>G21*Assumptions!$B$21</f>
        <v/>
      </c>
      <c r="T21" s="14">
        <f>MAX(D21-P21,0)</f>
        <v/>
      </c>
      <c r="U21" s="14">
        <f>T21*Assumptions!$B$10</f>
        <v/>
      </c>
      <c r="V21" s="15">
        <f>U21*Assumptions!$B$38*Assumptions!$B$37/1000*30.4</f>
        <v/>
      </c>
      <c r="W21" s="15">
        <f>Q21+R21+S21</f>
        <v/>
      </c>
      <c r="X21" s="15">
        <f>Assumptions!$B$43*(F21+K21)*0.3</f>
        <v/>
      </c>
      <c r="Y21" s="15">
        <f>IF(AND(Assumptions!$B$34=1,W21&gt;2500),W21*0.01,0)</f>
        <v/>
      </c>
      <c r="Z21" s="15">
        <f>W21*(1-Assumptions!$B$44)-X21-Y21</f>
        <v/>
      </c>
      <c r="AA21" s="15">
        <f>Q21+R21</f>
        <v/>
      </c>
      <c r="AB21" s="15">
        <f>AA21*(1-Assumptions!$B$44)-IF(AND(Assumptions!$B$34=1,W21&gt;2500),AA21*0.01,0)</f>
        <v/>
      </c>
      <c r="AC21" s="15">
        <f>T21*Assumptions!$B$35+P21*Assumptions!$B$36</f>
        <v/>
      </c>
      <c r="AD21" s="14">
        <f>AD20+B21</f>
        <v/>
      </c>
      <c r="AE21" s="15">
        <f>Z21+V21</f>
        <v/>
      </c>
    </row>
    <row r="22">
      <c r="A22" s="14" t="n">
        <v>21</v>
      </c>
      <c r="B22" s="14">
        <f>Assumptions!$B$5*(1+Assumptions!$B$6)^(A22-1)*Assumptions!$B$42</f>
        <v/>
      </c>
      <c r="C22" s="14">
        <f>Assumptions!$B$9*C21+B21*Assumptions!$B$8</f>
        <v/>
      </c>
      <c r="D22" s="14">
        <f>B22+C22</f>
        <v/>
      </c>
      <c r="E22" s="14">
        <f>B22*Assumptions!$B$12</f>
        <v/>
      </c>
      <c r="F22" s="14">
        <f>E22*Assumptions!$B$13+D22*Assumptions!$B$14</f>
        <v/>
      </c>
      <c r="G22" s="14">
        <f>IF(A22&lt;=Assumptions!$B$23,F22*Assumptions!$B$22,0)</f>
        <v/>
      </c>
      <c r="H22" s="14">
        <f>(F22-G22)*(1-Assumptions!$B$15)</f>
        <v/>
      </c>
      <c r="I22" s="14">
        <f>(F22-G22)*Assumptions!$B$15</f>
        <v/>
      </c>
      <c r="J22" s="12">
        <f>IF(A22&lt;=Assumptions!$B$25,Assumptions!$B$46,Assumptions!$B$20)</f>
        <v/>
      </c>
      <c r="K22" s="14">
        <f>K21*(1-Assumptions!$B$28)+H22</f>
        <v/>
      </c>
      <c r="L22" s="14">
        <f>SUM(I11:I22)</f>
        <v/>
      </c>
      <c r="M22" s="14">
        <f>Assumptions!$B$29*SUM(I2:I10)</f>
        <v/>
      </c>
      <c r="N22" s="14">
        <f>L22+M22</f>
        <v/>
      </c>
      <c r="O22" s="14">
        <f>O21+G22</f>
        <v/>
      </c>
      <c r="P22" s="14">
        <f>K22+N22+O22</f>
        <v/>
      </c>
      <c r="Q22" s="15">
        <f>K22*Assumptions!$B$19</f>
        <v/>
      </c>
      <c r="R22" s="15">
        <f>SUMPRODUCT(I11:I22,J11:J22)/12+M22*Assumptions!$B$20/12</f>
        <v/>
      </c>
      <c r="S22" s="15">
        <f>G22*Assumptions!$B$21</f>
        <v/>
      </c>
      <c r="T22" s="14">
        <f>MAX(D22-P22,0)</f>
        <v/>
      </c>
      <c r="U22" s="14">
        <f>T22*Assumptions!$B$10</f>
        <v/>
      </c>
      <c r="V22" s="15">
        <f>U22*Assumptions!$B$38*Assumptions!$B$37/1000*30.4</f>
        <v/>
      </c>
      <c r="W22" s="15">
        <f>Q22+R22+S22</f>
        <v/>
      </c>
      <c r="X22" s="15">
        <f>Assumptions!$B$43*(F22+K22)*0.3</f>
        <v/>
      </c>
      <c r="Y22" s="15">
        <f>IF(AND(Assumptions!$B$34=1,W22&gt;2500),W22*0.01,0)</f>
        <v/>
      </c>
      <c r="Z22" s="15">
        <f>W22*(1-Assumptions!$B$44)-X22-Y22</f>
        <v/>
      </c>
      <c r="AA22" s="15">
        <f>Q22+R22</f>
        <v/>
      </c>
      <c r="AB22" s="15">
        <f>AA22*(1-Assumptions!$B$44)-IF(AND(Assumptions!$B$34=1,W22&gt;2500),AA22*0.01,0)</f>
        <v/>
      </c>
      <c r="AC22" s="15">
        <f>T22*Assumptions!$B$35+P22*Assumptions!$B$36</f>
        <v/>
      </c>
      <c r="AD22" s="14">
        <f>AD21+B22</f>
        <v/>
      </c>
      <c r="AE22" s="15">
        <f>Z22+V22</f>
        <v/>
      </c>
    </row>
    <row r="23">
      <c r="A23" s="14" t="n">
        <v>22</v>
      </c>
      <c r="B23" s="14">
        <f>Assumptions!$B$5*(1+Assumptions!$B$6)^(A23-1)*Assumptions!$B$42</f>
        <v/>
      </c>
      <c r="C23" s="14">
        <f>Assumptions!$B$9*C22+B22*Assumptions!$B$8</f>
        <v/>
      </c>
      <c r="D23" s="14">
        <f>B23+C23</f>
        <v/>
      </c>
      <c r="E23" s="14">
        <f>B23*Assumptions!$B$12</f>
        <v/>
      </c>
      <c r="F23" s="14">
        <f>E23*Assumptions!$B$13+D23*Assumptions!$B$14</f>
        <v/>
      </c>
      <c r="G23" s="14">
        <f>IF(A23&lt;=Assumptions!$B$23,F23*Assumptions!$B$22,0)</f>
        <v/>
      </c>
      <c r="H23" s="14">
        <f>(F23-G23)*(1-Assumptions!$B$15)</f>
        <v/>
      </c>
      <c r="I23" s="14">
        <f>(F23-G23)*Assumptions!$B$15</f>
        <v/>
      </c>
      <c r="J23" s="12">
        <f>IF(A23&lt;=Assumptions!$B$25,Assumptions!$B$46,Assumptions!$B$20)</f>
        <v/>
      </c>
      <c r="K23" s="14">
        <f>K22*(1-Assumptions!$B$28)+H23</f>
        <v/>
      </c>
      <c r="L23" s="14">
        <f>SUM(I12:I23)</f>
        <v/>
      </c>
      <c r="M23" s="14">
        <f>Assumptions!$B$29*SUM(I2:I11)</f>
        <v/>
      </c>
      <c r="N23" s="14">
        <f>L23+M23</f>
        <v/>
      </c>
      <c r="O23" s="14">
        <f>O22+G23</f>
        <v/>
      </c>
      <c r="P23" s="14">
        <f>K23+N23+O23</f>
        <v/>
      </c>
      <c r="Q23" s="15">
        <f>K23*Assumptions!$B$19</f>
        <v/>
      </c>
      <c r="R23" s="15">
        <f>SUMPRODUCT(I12:I23,J12:J23)/12+M23*Assumptions!$B$20/12</f>
        <v/>
      </c>
      <c r="S23" s="15">
        <f>G23*Assumptions!$B$21</f>
        <v/>
      </c>
      <c r="T23" s="14">
        <f>MAX(D23-P23,0)</f>
        <v/>
      </c>
      <c r="U23" s="14">
        <f>T23*Assumptions!$B$10</f>
        <v/>
      </c>
      <c r="V23" s="15">
        <f>U23*Assumptions!$B$38*Assumptions!$B$37/1000*30.4</f>
        <v/>
      </c>
      <c r="W23" s="15">
        <f>Q23+R23+S23</f>
        <v/>
      </c>
      <c r="X23" s="15">
        <f>Assumptions!$B$43*(F23+K23)*0.3</f>
        <v/>
      </c>
      <c r="Y23" s="15">
        <f>IF(AND(Assumptions!$B$34=1,W23&gt;2500),W23*0.01,0)</f>
        <v/>
      </c>
      <c r="Z23" s="15">
        <f>W23*(1-Assumptions!$B$44)-X23-Y23</f>
        <v/>
      </c>
      <c r="AA23" s="15">
        <f>Q23+R23</f>
        <v/>
      </c>
      <c r="AB23" s="15">
        <f>AA23*(1-Assumptions!$B$44)-IF(AND(Assumptions!$B$34=1,W23&gt;2500),AA23*0.01,0)</f>
        <v/>
      </c>
      <c r="AC23" s="15">
        <f>T23*Assumptions!$B$35+P23*Assumptions!$B$36</f>
        <v/>
      </c>
      <c r="AD23" s="14">
        <f>AD22+B23</f>
        <v/>
      </c>
      <c r="AE23" s="15">
        <f>Z23+V23</f>
        <v/>
      </c>
    </row>
    <row r="24">
      <c r="A24" s="14" t="n">
        <v>23</v>
      </c>
      <c r="B24" s="14">
        <f>Assumptions!$B$5*(1+Assumptions!$B$6)^(A24-1)*Assumptions!$B$42</f>
        <v/>
      </c>
      <c r="C24" s="14">
        <f>Assumptions!$B$9*C23+B23*Assumptions!$B$8</f>
        <v/>
      </c>
      <c r="D24" s="14">
        <f>B24+C24</f>
        <v/>
      </c>
      <c r="E24" s="14">
        <f>B24*Assumptions!$B$12</f>
        <v/>
      </c>
      <c r="F24" s="14">
        <f>E24*Assumptions!$B$13+D24*Assumptions!$B$14</f>
        <v/>
      </c>
      <c r="G24" s="14">
        <f>IF(A24&lt;=Assumptions!$B$23,F24*Assumptions!$B$22,0)</f>
        <v/>
      </c>
      <c r="H24" s="14">
        <f>(F24-G24)*(1-Assumptions!$B$15)</f>
        <v/>
      </c>
      <c r="I24" s="14">
        <f>(F24-G24)*Assumptions!$B$15</f>
        <v/>
      </c>
      <c r="J24" s="12">
        <f>IF(A24&lt;=Assumptions!$B$25,Assumptions!$B$46,Assumptions!$B$20)</f>
        <v/>
      </c>
      <c r="K24" s="14">
        <f>K23*(1-Assumptions!$B$28)+H24</f>
        <v/>
      </c>
      <c r="L24" s="14">
        <f>SUM(I13:I24)</f>
        <v/>
      </c>
      <c r="M24" s="14">
        <f>Assumptions!$B$29*SUM(I2:I12)</f>
        <v/>
      </c>
      <c r="N24" s="14">
        <f>L24+M24</f>
        <v/>
      </c>
      <c r="O24" s="14">
        <f>O23+G24</f>
        <v/>
      </c>
      <c r="P24" s="14">
        <f>K24+N24+O24</f>
        <v/>
      </c>
      <c r="Q24" s="15">
        <f>K24*Assumptions!$B$19</f>
        <v/>
      </c>
      <c r="R24" s="15">
        <f>SUMPRODUCT(I13:I24,J13:J24)/12+M24*Assumptions!$B$20/12</f>
        <v/>
      </c>
      <c r="S24" s="15">
        <f>G24*Assumptions!$B$21</f>
        <v/>
      </c>
      <c r="T24" s="14">
        <f>MAX(D24-P24,0)</f>
        <v/>
      </c>
      <c r="U24" s="14">
        <f>T24*Assumptions!$B$10</f>
        <v/>
      </c>
      <c r="V24" s="15">
        <f>U24*Assumptions!$B$38*Assumptions!$B$37/1000*30.4</f>
        <v/>
      </c>
      <c r="W24" s="15">
        <f>Q24+R24+S24</f>
        <v/>
      </c>
      <c r="X24" s="15">
        <f>Assumptions!$B$43*(F24+K24)*0.3</f>
        <v/>
      </c>
      <c r="Y24" s="15">
        <f>IF(AND(Assumptions!$B$34=1,W24&gt;2500),W24*0.01,0)</f>
        <v/>
      </c>
      <c r="Z24" s="15">
        <f>W24*(1-Assumptions!$B$44)-X24-Y24</f>
        <v/>
      </c>
      <c r="AA24" s="15">
        <f>Q24+R24</f>
        <v/>
      </c>
      <c r="AB24" s="15">
        <f>AA24*(1-Assumptions!$B$44)-IF(AND(Assumptions!$B$34=1,W24&gt;2500),AA24*0.01,0)</f>
        <v/>
      </c>
      <c r="AC24" s="15">
        <f>T24*Assumptions!$B$35+P24*Assumptions!$B$36</f>
        <v/>
      </c>
      <c r="AD24" s="14">
        <f>AD23+B24</f>
        <v/>
      </c>
      <c r="AE24" s="15">
        <f>Z24+V24</f>
        <v/>
      </c>
    </row>
    <row r="25">
      <c r="A25" s="14" t="n">
        <v>24</v>
      </c>
      <c r="B25" s="14">
        <f>Assumptions!$B$5*(1+Assumptions!$B$6)^(A25-1)*Assumptions!$B$42</f>
        <v/>
      </c>
      <c r="C25" s="14">
        <f>Assumptions!$B$9*C24+B24*Assumptions!$B$8</f>
        <v/>
      </c>
      <c r="D25" s="14">
        <f>B25+C25</f>
        <v/>
      </c>
      <c r="E25" s="14">
        <f>B25*Assumptions!$B$12</f>
        <v/>
      </c>
      <c r="F25" s="14">
        <f>E25*Assumptions!$B$13+D25*Assumptions!$B$14</f>
        <v/>
      </c>
      <c r="G25" s="14">
        <f>IF(A25&lt;=Assumptions!$B$23,F25*Assumptions!$B$22,0)</f>
        <v/>
      </c>
      <c r="H25" s="14">
        <f>(F25-G25)*(1-Assumptions!$B$15)</f>
        <v/>
      </c>
      <c r="I25" s="14">
        <f>(F25-G25)*Assumptions!$B$15</f>
        <v/>
      </c>
      <c r="J25" s="12">
        <f>IF(A25&lt;=Assumptions!$B$25,Assumptions!$B$46,Assumptions!$B$20)</f>
        <v/>
      </c>
      <c r="K25" s="14">
        <f>K24*(1-Assumptions!$B$28)+H25</f>
        <v/>
      </c>
      <c r="L25" s="14">
        <f>SUM(I14:I25)</f>
        <v/>
      </c>
      <c r="M25" s="14">
        <f>Assumptions!$B$29*SUM(I2:I13)</f>
        <v/>
      </c>
      <c r="N25" s="14">
        <f>L25+M25</f>
        <v/>
      </c>
      <c r="O25" s="14">
        <f>O24+G25</f>
        <v/>
      </c>
      <c r="P25" s="14">
        <f>K25+N25+O25</f>
        <v/>
      </c>
      <c r="Q25" s="15">
        <f>K25*Assumptions!$B$19</f>
        <v/>
      </c>
      <c r="R25" s="15">
        <f>SUMPRODUCT(I14:I25,J14:J25)/12+M25*Assumptions!$B$20/12</f>
        <v/>
      </c>
      <c r="S25" s="15">
        <f>G25*Assumptions!$B$21</f>
        <v/>
      </c>
      <c r="T25" s="14">
        <f>MAX(D25-P25,0)</f>
        <v/>
      </c>
      <c r="U25" s="14">
        <f>T25*Assumptions!$B$10</f>
        <v/>
      </c>
      <c r="V25" s="15">
        <f>U25*Assumptions!$B$38*Assumptions!$B$37/1000*30.4</f>
        <v/>
      </c>
      <c r="W25" s="15">
        <f>Q25+R25+S25</f>
        <v/>
      </c>
      <c r="X25" s="15">
        <f>Assumptions!$B$43*(F25+K25)*0.3</f>
        <v/>
      </c>
      <c r="Y25" s="15">
        <f>IF(AND(Assumptions!$B$34=1,W25&gt;2500),W25*0.01,0)</f>
        <v/>
      </c>
      <c r="Z25" s="15">
        <f>W25*(1-Assumptions!$B$44)-X25-Y25</f>
        <v/>
      </c>
      <c r="AA25" s="15">
        <f>Q25+R25</f>
        <v/>
      </c>
      <c r="AB25" s="15">
        <f>AA25*(1-Assumptions!$B$44)-IF(AND(Assumptions!$B$34=1,W25&gt;2500),AA25*0.01,0)</f>
        <v/>
      </c>
      <c r="AC25" s="15">
        <f>T25*Assumptions!$B$35+P25*Assumptions!$B$36</f>
        <v/>
      </c>
      <c r="AD25" s="14">
        <f>AD24+B25</f>
        <v/>
      </c>
      <c r="AE25" s="15">
        <f>Z25+V25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60" customWidth="1" min="3" max="3"/>
  </cols>
  <sheetData>
    <row r="1">
      <c r="A1" s="1" t="inlineStr">
        <is>
          <t>Unit economics (closed-form, net of fees)</t>
        </is>
      </c>
    </row>
    <row r="4">
      <c r="A4" s="16" t="inlineStr">
        <is>
          <t>Net monthly price</t>
        </is>
      </c>
      <c r="B4" s="17">
        <f>Assumptions!$B$19*Assumptions!$B$45</f>
        <v/>
      </c>
      <c r="C4" s="18" t="inlineStr">
        <is>
          <t>price × net factor</t>
        </is>
      </c>
    </row>
    <row r="5">
      <c r="A5" s="16" t="inlineStr">
        <is>
          <t>Net annual price (list)</t>
        </is>
      </c>
      <c r="B5" s="17">
        <f>Assumptions!$B$20*Assumptions!$B$45</f>
        <v/>
      </c>
      <c r="C5" s="18" t="inlineStr"/>
    </row>
    <row r="6">
      <c r="A6" s="16" t="inlineStr">
        <is>
          <t>Net annual price (promo yr 1 blend)</t>
        </is>
      </c>
      <c r="B6" s="17">
        <f>Assumptions!$B$46*Assumptions!$B$45</f>
        <v/>
      </c>
      <c r="C6" s="18" t="inlineStr"/>
    </row>
    <row r="7">
      <c r="A7" s="16" t="inlineStr">
        <is>
          <t>LTV — monthly plan</t>
        </is>
      </c>
      <c r="B7" s="17">
        <f>B4/Assumptions!$B$28</f>
        <v/>
      </c>
      <c r="C7" s="18" t="inlineStr">
        <is>
          <t>net price ÷ monthly churn</t>
        </is>
      </c>
    </row>
    <row r="8">
      <c r="A8" s="16" t="inlineStr">
        <is>
          <t>LTV — annual (list)</t>
        </is>
      </c>
      <c r="B8" s="17">
        <f>B5+B5*Assumptions!$B$29/(1-Assumptions!$B$29)</f>
        <v/>
      </c>
      <c r="C8" s="18" t="inlineStr">
        <is>
          <t>first year + renewals geometric</t>
        </is>
      </c>
    </row>
    <row r="9">
      <c r="A9" s="16" t="inlineStr">
        <is>
          <t>LTV — annual (promo yr 1)</t>
        </is>
      </c>
      <c r="B9" s="17">
        <f>B6+B5*Assumptions!$B$29/(1-Assumptions!$B$29)</f>
        <v/>
      </c>
      <c r="C9" s="18" t="inlineStr">
        <is>
          <t>discounted first year, renews at list</t>
        </is>
      </c>
    </row>
    <row r="10">
      <c r="A10" s="16" t="inlineStr">
        <is>
          <t>LTV — lifetime</t>
        </is>
      </c>
      <c r="B10" s="17">
        <f>Assumptions!$B$21*Assumptions!$B$45</f>
        <v/>
      </c>
      <c r="C10" s="18" t="inlineStr">
        <is>
          <t>one-time net</t>
        </is>
      </c>
    </row>
    <row r="11">
      <c r="A11" s="16" t="inlineStr">
        <is>
          <t>Blended LTV (new-sub mix)</t>
        </is>
      </c>
      <c r="B11" s="17">
        <f>(1-Assumptions!$B$15)*B7+Assumptions!$B$15*IF(Assumptions!$B$25&gt;0,B9,B8)</f>
        <v/>
      </c>
      <c r="C11" s="18" t="inlineStr">
        <is>
          <t>vs GTM assumption $60–80</t>
        </is>
      </c>
    </row>
    <row r="12">
      <c r="A12" s="16" t="inlineStr">
        <is>
          <t>Install → paid rate</t>
        </is>
      </c>
      <c r="B12" s="19">
        <f>Assumptions!$B$12*Assumptions!$B$13</f>
        <v/>
      </c>
      <c r="C12" s="18" t="inlineStr"/>
    </row>
    <row r="13">
      <c r="A13" s="16" t="inlineStr">
        <is>
          <t>CAC per paying user</t>
        </is>
      </c>
      <c r="B13" s="17">
        <f>Assumptions!$B$39/B12</f>
        <v/>
      </c>
      <c r="C13" s="18" t="inlineStr">
        <is>
          <t>blended CPI ÷ install→paid</t>
        </is>
      </c>
    </row>
    <row r="14">
      <c r="A14" s="16" t="inlineStr">
        <is>
          <t>LTV : CAC</t>
        </is>
      </c>
      <c r="B14" s="20">
        <f>B11/B13</f>
        <v/>
      </c>
      <c r="C14" s="18" t="inlineStr">
        <is>
          <t>target ≥ 3×</t>
        </is>
      </c>
    </row>
    <row r="15">
      <c r="A15" s="16" t="inlineStr">
        <is>
          <t>Net MRR per payer (steady state approx)</t>
        </is>
      </c>
      <c r="B15" s="17">
        <f>(1-Assumptions!$B$15)*B4+Assumptions!$B$15*B5/12</f>
        <v/>
      </c>
      <c r="C15" s="18" t="inlineStr"/>
    </row>
    <row r="16">
      <c r="A16" s="16" t="inlineStr">
        <is>
          <t>Payback (months)</t>
        </is>
      </c>
      <c r="B16" s="21">
        <f>B13/B15</f>
        <v/>
      </c>
      <c r="C16" s="18" t="inlineStr">
        <is>
          <t>GTM gate ≤ 6 months</t>
        </is>
      </c>
    </row>
    <row r="17">
      <c r="A17" s="16" t="n"/>
      <c r="B17" s="16" t="n"/>
      <c r="C17" s="16" t="n"/>
    </row>
    <row r="18">
      <c r="A18" s="22" t="inlineStr">
        <is>
          <t>What $59.99 nets, per platform</t>
        </is>
      </c>
      <c r="B18" s="16" t="n"/>
      <c r="C18" s="16" t="n"/>
    </row>
    <row r="19">
      <c r="A19" s="16" t="inlineStr">
        <is>
          <t>iOS — Apple 15% (Small Business)</t>
        </is>
      </c>
      <c r="B19" s="17">
        <f>Assumptions!$B$20*(1-Assumptions!$B$31)</f>
        <v/>
      </c>
      <c r="C19" s="16" t="n"/>
    </row>
    <row r="20">
      <c r="A20" s="16" t="inlineStr">
        <is>
          <t>Android — Play ≈15% effective</t>
        </is>
      </c>
      <c r="B20" s="17">
        <f>Assumptions!$B$20*(1-Assumptions!$B$32)</f>
        <v/>
      </c>
      <c r="C20" s="16" t="n"/>
    </row>
    <row r="21">
      <c r="A21" s="16" t="inlineStr">
        <is>
          <t>Web — Stripe 3.4% + 30¢</t>
        </is>
      </c>
      <c r="B21" s="17">
        <f>Assumptions!$B$20*(1-Assumptions!$B$33)-0.3</f>
        <v/>
      </c>
      <c r="C21" s="16" t="n"/>
    </row>
    <row r="22">
      <c r="A22" s="16" t="n"/>
      <c r="B22" s="16" t="n"/>
      <c r="C22" s="16" t="n"/>
    </row>
    <row r="23">
      <c r="A23" s="22" t="inlineStr">
        <is>
          <t>GTM feasibility — LAUNCH-PLAN target: 10K users &amp; $50K MRR by day 90</t>
        </is>
      </c>
      <c r="B23" s="16" t="n"/>
      <c r="C23" s="16" t="n"/>
    </row>
    <row r="24">
      <c r="A24" s="16" t="inlineStr">
        <is>
          <t>Cumulative installs @ month 3</t>
        </is>
      </c>
      <c r="B24" s="23">
        <f>Model!AD4</f>
        <v/>
      </c>
      <c r="C24" s="18" t="inlineStr">
        <is>
          <t>target 10,000</t>
        </is>
      </c>
    </row>
    <row r="25">
      <c r="A25" s="16" t="inlineStr">
        <is>
          <t>Net MRR @ month 3</t>
        </is>
      </c>
      <c r="B25" s="24">
        <f>Model!AB4</f>
        <v/>
      </c>
      <c r="C25" s="18" t="inlineStr">
        <is>
          <t>target $50,000</t>
        </is>
      </c>
    </row>
    <row r="26">
      <c r="A26" s="16" t="inlineStr">
        <is>
          <t>Paying subs needed for $50K net MRR</t>
        </is>
      </c>
      <c r="B26" s="23">
        <f>50000/B15</f>
        <v/>
      </c>
      <c r="C26" s="18">
        <f> 50,000 ÷ net MRR per payer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5" t="inlineStr">
        <is>
          <t>Scenario presets — paste a column into Assumptions!B</t>
        </is>
      </c>
    </row>
    <row r="3">
      <c r="A3" s="26" t="inlineStr">
        <is>
          <t>Parameter</t>
        </is>
      </c>
      <c r="B3" s="26" t="inlineStr">
        <is>
          <t>Conservative</t>
        </is>
      </c>
      <c r="C3" s="26" t="inlineStr">
        <is>
          <t>Base</t>
        </is>
      </c>
      <c r="D3" s="26" t="inlineStr">
        <is>
          <t>GTM target</t>
        </is>
      </c>
    </row>
    <row r="4">
      <c r="A4" t="inlineStr">
        <is>
          <t>installs0</t>
        </is>
      </c>
      <c r="B4" t="n">
        <v>4000</v>
      </c>
      <c r="C4" t="n">
        <v>12000</v>
      </c>
      <c r="D4" t="n">
        <v>30000</v>
      </c>
    </row>
    <row r="5">
      <c r="A5" t="inlineStr">
        <is>
          <t>growth</t>
        </is>
      </c>
      <c r="B5" t="n">
        <v>0.06</v>
      </c>
      <c r="C5" t="n">
        <v>0.1</v>
      </c>
      <c r="D5" t="n">
        <v>0.08</v>
      </c>
    </row>
    <row r="6">
      <c r="A6" t="inlineStr">
        <is>
          <t>kfactor</t>
        </is>
      </c>
      <c r="B6" t="n">
        <v>0.2</v>
      </c>
      <c r="C6" t="n">
        <v>0.4</v>
      </c>
      <c r="D6" t="n">
        <v>0.7</v>
      </c>
    </row>
    <row r="7">
      <c r="A7" t="inlineStr">
        <is>
          <t>d30</t>
        </is>
      </c>
      <c r="B7" t="n">
        <v>0.08</v>
      </c>
      <c r="C7" t="n">
        <v>0.1</v>
      </c>
      <c r="D7" t="n">
        <v>0.12</v>
      </c>
    </row>
    <row r="8">
      <c r="A8" t="inlineStr">
        <is>
          <t>decay</t>
        </is>
      </c>
      <c r="B8" t="n">
        <v>0.82</v>
      </c>
      <c r="C8" t="n">
        <v>0.85</v>
      </c>
      <c r="D8" t="n">
        <v>0.88</v>
      </c>
    </row>
    <row r="9">
      <c r="A9" t="inlineStr">
        <is>
          <t>dauMau</t>
        </is>
      </c>
      <c r="B9" t="n">
        <v>0.2</v>
      </c>
      <c r="C9" t="n">
        <v>0.25</v>
      </c>
      <c r="D9" t="n">
        <v>0.3</v>
      </c>
    </row>
    <row r="10">
      <c r="A10" t="inlineStr">
        <is>
          <t>installTrial</t>
        </is>
      </c>
      <c r="B10" t="n">
        <v>0.02</v>
      </c>
      <c r="C10" t="n">
        <v>0.04</v>
      </c>
      <c r="D10" t="n">
        <v>0.06900000000000001</v>
      </c>
    </row>
    <row r="11">
      <c r="A11" t="inlineStr">
        <is>
          <t>trialPaid</t>
        </is>
      </c>
      <c r="B11" t="n">
        <v>0.3</v>
      </c>
      <c r="C11" t="n">
        <v>0.38</v>
      </c>
      <c r="D11" t="n">
        <v>0.42</v>
      </c>
    </row>
    <row r="12">
      <c r="A12" t="inlineStr">
        <is>
          <t>drip</t>
        </is>
      </c>
      <c r="B12" t="n">
        <v>0.001</v>
      </c>
      <c r="C12" t="n">
        <v>0.002</v>
      </c>
      <c r="D12" t="n">
        <v>0.003</v>
      </c>
    </row>
    <row r="13">
      <c r="A13" t="inlineStr">
        <is>
          <t>annualShare</t>
        </is>
      </c>
      <c r="B13" t="n">
        <v>0.55</v>
      </c>
      <c r="C13" t="n">
        <v>0.65</v>
      </c>
      <c r="D13" t="n">
        <v>0.68</v>
      </c>
    </row>
    <row r="14">
      <c r="A14" t="inlineStr">
        <is>
          <t>mixIos</t>
        </is>
      </c>
      <c r="B14" t="n">
        <v>0.55</v>
      </c>
      <c r="C14" t="n">
        <v>0.6</v>
      </c>
      <c r="D14" t="n">
        <v>0.65</v>
      </c>
    </row>
    <row r="15">
      <c r="A15" t="inlineStr">
        <is>
          <t>mixAndroid</t>
        </is>
      </c>
      <c r="B15" t="n">
        <v>0.3</v>
      </c>
      <c r="C15" t="n">
        <v>0.25</v>
      </c>
      <c r="D15" t="n">
        <v>0.2</v>
      </c>
    </row>
    <row r="16">
      <c r="A16" t="inlineStr">
        <is>
          <t>priceM</t>
        </is>
      </c>
      <c r="B16" t="n">
        <v>9.99</v>
      </c>
      <c r="C16" t="n">
        <v>9.99</v>
      </c>
      <c r="D16" t="n">
        <v>9.99</v>
      </c>
    </row>
    <row r="17">
      <c r="A17" t="inlineStr">
        <is>
          <t>priceA</t>
        </is>
      </c>
      <c r="B17" t="n">
        <v>59.99</v>
      </c>
      <c r="C17" t="n">
        <v>59.99</v>
      </c>
      <c r="D17" t="n">
        <v>59.99</v>
      </c>
    </row>
    <row r="18">
      <c r="A18" t="inlineStr">
        <is>
          <t>priceL</t>
        </is>
      </c>
      <c r="B18" t="n">
        <v>149.99</v>
      </c>
      <c r="C18" t="n">
        <v>149.99</v>
      </c>
      <c r="D18" t="n">
        <v>149.99</v>
      </c>
    </row>
    <row r="19">
      <c r="A19" t="inlineStr">
        <is>
          <t>lifeTake</t>
        </is>
      </c>
      <c r="B19" t="n">
        <v>0.02</v>
      </c>
      <c r="C19" t="n">
        <v>0.03</v>
      </c>
      <c r="D19" t="n">
        <v>0.04</v>
      </c>
    </row>
    <row r="20">
      <c r="A20" t="inlineStr">
        <is>
          <t>lifeWindow</t>
        </is>
      </c>
      <c r="B20" t="n">
        <v>2</v>
      </c>
      <c r="C20" t="n">
        <v>3</v>
      </c>
      <c r="D20" t="n">
        <v>3</v>
      </c>
    </row>
    <row r="21">
      <c r="A21" t="inlineStr">
        <is>
          <t>promoPrice</t>
        </is>
      </c>
      <c r="B21" t="n">
        <v>39.99</v>
      </c>
      <c r="C21" t="n">
        <v>39.99</v>
      </c>
      <c r="D21" t="n">
        <v>39.99</v>
      </c>
    </row>
    <row r="22">
      <c r="A22" t="inlineStr">
        <is>
          <t>promoWindow</t>
        </is>
      </c>
      <c r="B22" t="n">
        <v>2</v>
      </c>
      <c r="C22" t="n">
        <v>3</v>
      </c>
      <c r="D22" t="n">
        <v>3</v>
      </c>
    </row>
    <row r="23">
      <c r="A23" t="inlineStr">
        <is>
          <t>promoUptake</t>
        </is>
      </c>
      <c r="B23" t="n">
        <v>0.6</v>
      </c>
      <c r="C23" t="n">
        <v>0.7</v>
      </c>
      <c r="D23" t="n">
        <v>0.75</v>
      </c>
    </row>
    <row r="24">
      <c r="A24" t="inlineStr">
        <is>
          <t>churnM</t>
        </is>
      </c>
      <c r="B24" t="n">
        <v>0.08</v>
      </c>
      <c r="C24" t="n">
        <v>0.06</v>
      </c>
      <c r="D24" t="n">
        <v>0.05</v>
      </c>
    </row>
    <row r="25">
      <c r="A25" t="inlineStr">
        <is>
          <t>renewA</t>
        </is>
      </c>
      <c r="B25" t="n">
        <v>0.35</v>
      </c>
      <c r="C25" t="n">
        <v>0.45</v>
      </c>
      <c r="D25" t="n">
        <v>0.55</v>
      </c>
    </row>
    <row r="26">
      <c r="A26" t="inlineStr">
        <is>
          <t>feeApple</t>
        </is>
      </c>
      <c r="B26" t="n">
        <v>0.15</v>
      </c>
      <c r="C26" t="n">
        <v>0.15</v>
      </c>
      <c r="D26" t="n">
        <v>0.15</v>
      </c>
    </row>
    <row r="27">
      <c r="A27" t="inlineStr">
        <is>
          <t>feeGoogle</t>
        </is>
      </c>
      <c r="B27" t="n">
        <v>0.15</v>
      </c>
      <c r="C27" t="n">
        <v>0.15</v>
      </c>
      <c r="D27" t="n">
        <v>0.15</v>
      </c>
    </row>
    <row r="28">
      <c r="A28" t="inlineStr">
        <is>
          <t>feeWebPct</t>
        </is>
      </c>
      <c r="B28" t="n">
        <v>0.034</v>
      </c>
      <c r="C28" t="n">
        <v>0.034</v>
      </c>
      <c r="D28" t="n">
        <v>0.034</v>
      </c>
    </row>
    <row r="29">
      <c r="A29" t="inlineStr">
        <is>
          <t>rcOn</t>
        </is>
      </c>
      <c r="B29" t="n">
        <v>1</v>
      </c>
      <c r="C29" t="n">
        <v>1</v>
      </c>
      <c r="D29" t="n">
        <v>1</v>
      </c>
    </row>
    <row r="30">
      <c r="A30" t="inlineStr">
        <is>
          <t>aiFree</t>
        </is>
      </c>
      <c r="B30" t="n">
        <v>0.35</v>
      </c>
      <c r="C30" t="n">
        <v>0.4</v>
      </c>
      <c r="D30" t="n">
        <v>0.45</v>
      </c>
    </row>
    <row r="31">
      <c r="A31" t="inlineStr">
        <is>
          <t>aiPro</t>
        </is>
      </c>
      <c r="B31" t="n">
        <v>1.5</v>
      </c>
      <c r="C31" t="n">
        <v>2</v>
      </c>
      <c r="D31" t="n">
        <v>2.5</v>
      </c>
    </row>
    <row r="32">
      <c r="A32" t="inlineStr">
        <is>
          <t>ecpm</t>
        </is>
      </c>
      <c r="B32" t="n">
        <v>6</v>
      </c>
      <c r="C32" t="n">
        <v>8</v>
      </c>
      <c r="D32" t="n">
        <v>9</v>
      </c>
    </row>
    <row r="33">
      <c r="A33" t="inlineStr">
        <is>
          <t>impsDau</t>
        </is>
      </c>
      <c r="B33" t="n">
        <v>2</v>
      </c>
      <c r="C33" t="n">
        <v>3</v>
      </c>
      <c r="D33" t="n">
        <v>3</v>
      </c>
    </row>
    <row r="34">
      <c r="A34" t="inlineStr">
        <is>
          <t>cpi</t>
        </is>
      </c>
      <c r="B34" t="n">
        <v>3.5</v>
      </c>
      <c r="C34" t="n">
        <v>3</v>
      </c>
      <c r="D3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2026-08-02T13:03:23Z</dcterms:created>
  <dcterms:modified xsi:type="dcterms:W3CDTF">2026-08-02T13:03:23Z</dcterms:modified>
</cp:coreProperties>
</file>